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 LAB1\Dropbox\Path choice manuscript\Latex_manuscript\Generated Diagrams\Composition plot\"/>
    </mc:Choice>
  </mc:AlternateContent>
  <bookViews>
    <workbookView xWindow="-120" yWindow="-120" windowWidth="20730" windowHeight="11160" activeTab="1"/>
  </bookViews>
  <sheets>
    <sheet name="Registered_Motor_Vehicles" sheetId="1" r:id="rId1"/>
    <sheet name="values" sheetId="3" r:id="rId2"/>
    <sheet name="Sheet1" sheetId="2" r:id="rId3"/>
    <sheet name="Sheet2" sheetId="4" r:id="rId4"/>
  </sheets>
  <calcPr calcId="152511"/>
  <fileRecoveryPr repairLoad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16" i="4" l="1"/>
  <c r="P17" i="4"/>
  <c r="P18" i="4"/>
  <c r="P15" i="4"/>
  <c r="U16" i="4" l="1"/>
  <c r="U17" i="4"/>
  <c r="U18" i="4"/>
  <c r="T16" i="4"/>
  <c r="T17" i="4"/>
  <c r="T18" i="4"/>
  <c r="S16" i="4"/>
  <c r="S17" i="4"/>
  <c r="S18" i="4"/>
  <c r="R16" i="4"/>
  <c r="R17" i="4"/>
  <c r="R18" i="4"/>
  <c r="Q16" i="4"/>
  <c r="Q17" i="4"/>
  <c r="Q18" i="4"/>
  <c r="U15" i="4"/>
  <c r="T15" i="4"/>
  <c r="S15" i="4"/>
  <c r="R15" i="4"/>
  <c r="Q15" i="4"/>
  <c r="N18" i="4" l="1"/>
  <c r="M18" i="4"/>
  <c r="L18" i="4"/>
  <c r="K18" i="4"/>
  <c r="J18" i="4"/>
  <c r="I18" i="4"/>
  <c r="N17" i="4"/>
  <c r="M17" i="4"/>
  <c r="L17" i="4"/>
  <c r="K17" i="4"/>
  <c r="J17" i="4"/>
  <c r="I17" i="4"/>
  <c r="N16" i="4"/>
  <c r="M16" i="4"/>
  <c r="L16" i="4"/>
  <c r="K16" i="4"/>
  <c r="J16" i="4"/>
  <c r="I16" i="4"/>
  <c r="N15" i="4"/>
  <c r="M15" i="4"/>
  <c r="L15" i="4"/>
  <c r="K15" i="4"/>
  <c r="J15" i="4"/>
  <c r="I15" i="4"/>
  <c r="L60" i="2" l="1"/>
  <c r="Q60" i="2" s="1"/>
  <c r="M60" i="2"/>
  <c r="N60" i="2"/>
  <c r="O60" i="2"/>
  <c r="P60" i="2"/>
  <c r="L61" i="2"/>
  <c r="M61" i="2"/>
  <c r="Q61" i="2" s="1"/>
  <c r="N61" i="2"/>
  <c r="O61" i="2"/>
  <c r="P61" i="2"/>
  <c r="L62" i="2"/>
  <c r="Q62" i="2" s="1"/>
  <c r="M62" i="2"/>
  <c r="N62" i="2"/>
  <c r="O62" i="2"/>
  <c r="P62" i="2"/>
  <c r="F14" i="4"/>
  <c r="F13" i="4"/>
  <c r="F12" i="4"/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M4" i="2"/>
  <c r="M5" i="2"/>
  <c r="M6" i="2"/>
  <c r="M7" i="2"/>
  <c r="Q7" i="2" s="1"/>
  <c r="M8" i="2"/>
  <c r="M9" i="2"/>
  <c r="M10" i="2"/>
  <c r="M11" i="2"/>
  <c r="M12" i="2"/>
  <c r="M13" i="2"/>
  <c r="M14" i="2"/>
  <c r="M15" i="2"/>
  <c r="Q15" i="2" s="1"/>
  <c r="M16" i="2"/>
  <c r="M17" i="2"/>
  <c r="M18" i="2"/>
  <c r="M19" i="2"/>
  <c r="M20" i="2"/>
  <c r="M21" i="2"/>
  <c r="M22" i="2"/>
  <c r="M23" i="2"/>
  <c r="Q23" i="2" s="1"/>
  <c r="M24" i="2"/>
  <c r="M25" i="2"/>
  <c r="M26" i="2"/>
  <c r="M27" i="2"/>
  <c r="M28" i="2"/>
  <c r="M29" i="2"/>
  <c r="M30" i="2"/>
  <c r="M31" i="2"/>
  <c r="Q31" i="2" s="1"/>
  <c r="M32" i="2"/>
  <c r="M33" i="2"/>
  <c r="M34" i="2"/>
  <c r="M35" i="2"/>
  <c r="M36" i="2"/>
  <c r="M37" i="2"/>
  <c r="M38" i="2"/>
  <c r="M39" i="2"/>
  <c r="Q39" i="2" s="1"/>
  <c r="M40" i="2"/>
  <c r="M41" i="2"/>
  <c r="M42" i="2"/>
  <c r="M43" i="2"/>
  <c r="M44" i="2"/>
  <c r="M45" i="2"/>
  <c r="M46" i="2"/>
  <c r="M47" i="2"/>
  <c r="Q47" i="2" s="1"/>
  <c r="M48" i="2"/>
  <c r="M49" i="2"/>
  <c r="M50" i="2"/>
  <c r="M51" i="2"/>
  <c r="M52" i="2"/>
  <c r="M53" i="2"/>
  <c r="M54" i="2"/>
  <c r="M55" i="2"/>
  <c r="Q55" i="2" s="1"/>
  <c r="M56" i="2"/>
  <c r="M57" i="2"/>
  <c r="M58" i="2"/>
  <c r="M59" i="2"/>
  <c r="P3" i="2"/>
  <c r="O3" i="2"/>
  <c r="N3" i="2"/>
  <c r="M3" i="2"/>
  <c r="L3" i="2"/>
  <c r="L4" i="2"/>
  <c r="Q4" i="2" s="1"/>
  <c r="L5" i="2"/>
  <c r="Q5" i="2" s="1"/>
  <c r="L6" i="2"/>
  <c r="L7" i="2"/>
  <c r="L8" i="2"/>
  <c r="Q8" i="2" s="1"/>
  <c r="L9" i="2"/>
  <c r="Q9" i="2" s="1"/>
  <c r="L10" i="2"/>
  <c r="L11" i="2"/>
  <c r="L12" i="2"/>
  <c r="Q12" i="2" s="1"/>
  <c r="L13" i="2"/>
  <c r="Q13" i="2" s="1"/>
  <c r="L14" i="2"/>
  <c r="L15" i="2"/>
  <c r="L16" i="2"/>
  <c r="Q16" i="2" s="1"/>
  <c r="L17" i="2"/>
  <c r="Q17" i="2" s="1"/>
  <c r="L18" i="2"/>
  <c r="L19" i="2"/>
  <c r="L20" i="2"/>
  <c r="Q20" i="2" s="1"/>
  <c r="L21" i="2"/>
  <c r="Q21" i="2" s="1"/>
  <c r="L22" i="2"/>
  <c r="L23" i="2"/>
  <c r="L24" i="2"/>
  <c r="Q24" i="2" s="1"/>
  <c r="L25" i="2"/>
  <c r="Q25" i="2" s="1"/>
  <c r="L26" i="2"/>
  <c r="L27" i="2"/>
  <c r="L28" i="2"/>
  <c r="Q28" i="2" s="1"/>
  <c r="L29" i="2"/>
  <c r="Q29" i="2" s="1"/>
  <c r="L30" i="2"/>
  <c r="L31" i="2"/>
  <c r="L32" i="2"/>
  <c r="Q32" i="2" s="1"/>
  <c r="L33" i="2"/>
  <c r="Q33" i="2" s="1"/>
  <c r="L34" i="2"/>
  <c r="L35" i="2"/>
  <c r="L36" i="2"/>
  <c r="Q36" i="2" s="1"/>
  <c r="L37" i="2"/>
  <c r="Q37" i="2" s="1"/>
  <c r="L38" i="2"/>
  <c r="L39" i="2"/>
  <c r="L40" i="2"/>
  <c r="Q40" i="2" s="1"/>
  <c r="L41" i="2"/>
  <c r="Q41" i="2" s="1"/>
  <c r="L42" i="2"/>
  <c r="L43" i="2"/>
  <c r="L44" i="2"/>
  <c r="Q44" i="2" s="1"/>
  <c r="L45" i="2"/>
  <c r="Q45" i="2" s="1"/>
  <c r="L46" i="2"/>
  <c r="L47" i="2"/>
  <c r="L48" i="2"/>
  <c r="Q48" i="2" s="1"/>
  <c r="L49" i="2"/>
  <c r="Q49" i="2" s="1"/>
  <c r="L50" i="2"/>
  <c r="L51" i="2"/>
  <c r="L52" i="2"/>
  <c r="Q52" i="2" s="1"/>
  <c r="L53" i="2"/>
  <c r="Q53" i="2" s="1"/>
  <c r="L54" i="2"/>
  <c r="L55" i="2"/>
  <c r="L56" i="2"/>
  <c r="Q56" i="2" s="1"/>
  <c r="L57" i="2"/>
  <c r="Q57" i="2" s="1"/>
  <c r="L58" i="2"/>
  <c r="L59" i="2"/>
  <c r="Q3" i="2" l="1"/>
  <c r="Q59" i="2"/>
  <c r="Q51" i="2"/>
  <c r="Q43" i="2"/>
  <c r="Q35" i="2"/>
  <c r="Q27" i="2"/>
  <c r="Q19" i="2"/>
  <c r="Q11" i="2"/>
  <c r="Q58" i="2"/>
  <c r="Q50" i="2"/>
  <c r="Q42" i="2"/>
  <c r="Q34" i="2"/>
  <c r="Q26" i="2"/>
  <c r="Q18" i="2"/>
  <c r="Q10" i="2"/>
  <c r="Q54" i="2"/>
  <c r="Q46" i="2"/>
  <c r="Q38" i="2"/>
  <c r="Q30" i="2"/>
  <c r="Q22" i="2"/>
  <c r="Q14" i="2"/>
  <c r="Q6" i="2"/>
</calcChain>
</file>

<file path=xl/sharedStrings.xml><?xml version="1.0" encoding="utf-8"?>
<sst xmlns="http://schemas.openxmlformats.org/spreadsheetml/2006/main" count="51" uniqueCount="16">
  <si>
    <t>Year</t>
  </si>
  <si>
    <t>All Vehicles</t>
  </si>
  <si>
    <t>Two Wheelers</t>
  </si>
  <si>
    <t>Cars</t>
  </si>
  <si>
    <t xml:space="preserve">Buses </t>
  </si>
  <si>
    <t>Trucks</t>
  </si>
  <si>
    <t>Others</t>
  </si>
  <si>
    <t>Vehicle Type</t>
  </si>
  <si>
    <t>Vehicle Composition</t>
  </si>
  <si>
    <t>Total</t>
  </si>
  <si>
    <t>PTWs</t>
  </si>
  <si>
    <t xml:space="preserve"> Year</t>
  </si>
  <si>
    <t>Goods vehicles(a)</t>
  </si>
  <si>
    <t>Two-wheelers</t>
  </si>
  <si>
    <t xml:space="preserve">Grand Total 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</si>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</sst>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8" fillId="34" borderId="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0" fillId="0" borderId="0" xfId="0" applyFill="1"/>
    <xf numFmtId="0" fontId="19" fillId="0" borderId="18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8" fillId="0" borderId="0" xfId="0" applyNumberFormat="1" applyFont="1" applyFill="1" applyBorder="1" applyAlignment="1" applyProtection="1">
      <alignment horizontal="center"/>
    </xf>
    <xf numFmtId="0" fontId="19" fillId="0" borderId="19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19" fillId="35" borderId="18" xfId="0" applyFont="1" applyFill="1" applyBorder="1" applyAlignment="1">
      <alignment horizontal="center"/>
    </xf>
    <xf numFmtId="0" fontId="0" fillId="35" borderId="0" xfId="0" applyFill="1"/>
    <xf numFmtId="0" fontId="18" fillId="35" borderId="0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1" fontId="0" fillId="0" borderId="0" xfId="0" applyNumberFormat="1"/>
    <xf numFmtId="1" fontId="0" fillId="35" borderId="0" xfId="0" applyNumberFormat="1" applyFill="1"/>
    <xf numFmtId="0" fontId="0" fillId="0" borderId="0" xfId="0" applyAlignment="1">
      <alignment horizontal="center"/>
    </xf>
    <xf numFmtId="0" fontId="19" fillId="0" borderId="13" xfId="0" applyFont="1" applyFill="1" applyBorder="1" applyAlignment="1" applyProtection="1">
      <alignment horizontal="center" vertical="center"/>
    </xf>
    <xf numFmtId="0" fontId="20" fillId="0" borderId="15" xfId="0" applyFont="1" applyFill="1" applyBorder="1" applyAlignment="1" applyProtection="1">
      <alignment horizontal="center" vertical="center"/>
    </xf>
    <xf numFmtId="0" fontId="20" fillId="0" borderId="17" xfId="0" applyFont="1" applyFill="1" applyBorder="1" applyAlignment="1" applyProtection="1">
      <alignment horizontal="center" vertical="center"/>
    </xf>
    <xf numFmtId="0" fontId="19" fillId="0" borderId="14" xfId="0" applyFont="1" applyFill="1" applyBorder="1" applyAlignment="1" applyProtection="1">
      <alignment horizontal="center" vertical="center" wrapText="1"/>
    </xf>
    <xf numFmtId="0" fontId="19" fillId="0" borderId="16" xfId="0" applyFont="1" applyFill="1" applyBorder="1" applyAlignment="1" applyProtection="1">
      <alignment horizontal="center" vertical="center" wrapText="1"/>
    </xf>
    <xf numFmtId="0" fontId="19" fillId="0" borderId="12" xfId="0" applyFont="1" applyFill="1" applyBorder="1" applyAlignment="1" applyProtection="1">
      <alignment horizontal="center" vertical="center"/>
    </xf>
    <xf numFmtId="0" fontId="19" fillId="0" borderId="13" xfId="0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363712514659071E-2"/>
          <c:y val="0.23870777764423981"/>
          <c:w val="0.92182777684704309"/>
          <c:h val="0.696845068113189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Two Wheelers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Sheet1!$K$3:$K$59</c:f>
              <c:numCache>
                <c:formatCode>General</c:formatCode>
                <c:ptCount val="57"/>
                <c:pt idx="0">
                  <c:v>1951</c:v>
                </c:pt>
                <c:pt idx="1">
                  <c:v>1956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</c:numCache>
            </c:numRef>
          </c:xVal>
          <c:yVal>
            <c:numRef>
              <c:f>Sheet1!$L$3:$L$59</c:f>
              <c:numCache>
                <c:formatCode>General</c:formatCode>
                <c:ptCount val="57"/>
                <c:pt idx="0">
                  <c:v>8.8235294117647065</c:v>
                </c:pt>
                <c:pt idx="1">
                  <c:v>9.624413145539906</c:v>
                </c:pt>
                <c:pt idx="2">
                  <c:v>11.921708185053381</c:v>
                </c:pt>
                <c:pt idx="3">
                  <c:v>12.561983471074381</c:v>
                </c:pt>
                <c:pt idx="4">
                  <c:v>13.233082706766917</c:v>
                </c:pt>
                <c:pt idx="5">
                  <c:v>15.48731642189586</c:v>
                </c:pt>
                <c:pt idx="6">
                  <c:v>16.528925619834713</c:v>
                </c:pt>
                <c:pt idx="7">
                  <c:v>18.543046357615893</c:v>
                </c:pt>
                <c:pt idx="8">
                  <c:v>20.079522862823062</c:v>
                </c:pt>
                <c:pt idx="9">
                  <c:v>20.564149226569608</c:v>
                </c:pt>
                <c:pt idx="10">
                  <c:v>24.013434089000839</c:v>
                </c:pt>
                <c:pt idx="11">
                  <c:v>26.051051051051051</c:v>
                </c:pt>
                <c:pt idx="12">
                  <c:v>28.290366350067842</c:v>
                </c:pt>
                <c:pt idx="13">
                  <c:v>30.337756332931242</c:v>
                </c:pt>
                <c:pt idx="14">
                  <c:v>30.88471849865952</c:v>
                </c:pt>
                <c:pt idx="15">
                  <c:v>32.078239608801958</c:v>
                </c:pt>
                <c:pt idx="16">
                  <c:v>34.803224276908487</c:v>
                </c:pt>
                <c:pt idx="17">
                  <c:v>36.012032660077352</c:v>
                </c:pt>
                <c:pt idx="18">
                  <c:v>38.26860841423948</c:v>
                </c:pt>
                <c:pt idx="19">
                  <c:v>39.148148148148145</c:v>
                </c:pt>
                <c:pt idx="20">
                  <c:v>43.404907975460119</c:v>
                </c:pt>
                <c:pt idx="21">
                  <c:v>44.77033757609297</c:v>
                </c:pt>
                <c:pt idx="22">
                  <c:v>46.513919684651398</c:v>
                </c:pt>
                <c:pt idx="23">
                  <c:v>46.825923468259234</c:v>
                </c:pt>
                <c:pt idx="24">
                  <c:v>48.562418846225192</c:v>
                </c:pt>
                <c:pt idx="25">
                  <c:v>50.619322873658135</c:v>
                </c:pt>
                <c:pt idx="26">
                  <c:v>52.402122472393522</c:v>
                </c:pt>
                <c:pt idx="27">
                  <c:v>54.736444835828401</c:v>
                </c:pt>
                <c:pt idx="28">
                  <c:v>56.477644492911672</c:v>
                </c:pt>
                <c:pt idx="29">
                  <c:v>59.043206958494842</c:v>
                </c:pt>
                <c:pt idx="30">
                  <c:v>61.333016325883662</c:v>
                </c:pt>
                <c:pt idx="31">
                  <c:v>62.761506276150627</c:v>
                </c:pt>
                <c:pt idx="32">
                  <c:v>64.804964539007088</c:v>
                </c:pt>
                <c:pt idx="33">
                  <c:v>65.846908939014199</c:v>
                </c:pt>
                <c:pt idx="34">
                  <c:v>66.435856648264249</c:v>
                </c:pt>
                <c:pt idx="35">
                  <c:v>66.622708129493347</c:v>
                </c:pt>
                <c:pt idx="36">
                  <c:v>67.308451037639074</c:v>
                </c:pt>
                <c:pt idx="37">
                  <c:v>68.326102675343463</c:v>
                </c:pt>
                <c:pt idx="38">
                  <c:v>68.760521538207627</c:v>
                </c:pt>
                <c:pt idx="39">
                  <c:v>68.821405315811276</c:v>
                </c:pt>
                <c:pt idx="40">
                  <c:v>68.919425693774784</c:v>
                </c:pt>
                <c:pt idx="41">
                  <c:v>69.237091471668919</c:v>
                </c:pt>
                <c:pt idx="42">
                  <c:v>69.811699164345413</c:v>
                </c:pt>
                <c:pt idx="43">
                  <c:v>69.832367930900389</c:v>
                </c:pt>
                <c:pt idx="44">
                  <c:v>70.1132912658435</c:v>
                </c:pt>
                <c:pt idx="45">
                  <c:v>70.567171271468325</c:v>
                </c:pt>
                <c:pt idx="46">
                  <c:v>70.916471413434408</c:v>
                </c:pt>
                <c:pt idx="47">
                  <c:v>71.401853736351384</c:v>
                </c:pt>
                <c:pt idx="48">
                  <c:v>72.146897507944885</c:v>
                </c:pt>
                <c:pt idx="49">
                  <c:v>72.243299337186727</c:v>
                </c:pt>
                <c:pt idx="50">
                  <c:v>71.482932983134631</c:v>
                </c:pt>
                <c:pt idx="51">
                  <c:v>71.508167778800797</c:v>
                </c:pt>
                <c:pt idx="52">
                  <c:v>71.684456855529746</c:v>
                </c:pt>
                <c:pt idx="53">
                  <c:v>71.70322358430009</c:v>
                </c:pt>
                <c:pt idx="54">
                  <c:v>71.80367388944498</c:v>
                </c:pt>
                <c:pt idx="55">
                  <c:v>72.367092814014583</c:v>
                </c:pt>
                <c:pt idx="56">
                  <c:v>72.65203211926881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A46-4F1B-99DB-B3FB66D63FE8}"/>
            </c:ext>
          </c:extLst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Cars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Sheet1!$K$3:$K$59</c:f>
              <c:numCache>
                <c:formatCode>General</c:formatCode>
                <c:ptCount val="57"/>
                <c:pt idx="0">
                  <c:v>1951</c:v>
                </c:pt>
                <c:pt idx="1">
                  <c:v>1956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</c:numCache>
            </c:numRef>
          </c:xVal>
          <c:yVal>
            <c:numRef>
              <c:f>Sheet1!$M$3:$M$59</c:f>
              <c:numCache>
                <c:formatCode>General</c:formatCode>
                <c:ptCount val="57"/>
                <c:pt idx="0">
                  <c:v>51.960784313725497</c:v>
                </c:pt>
                <c:pt idx="1">
                  <c:v>47.652582159624416</c:v>
                </c:pt>
                <c:pt idx="2">
                  <c:v>47.508896797153028</c:v>
                </c:pt>
                <c:pt idx="3">
                  <c:v>46.611570247933884</c:v>
                </c:pt>
                <c:pt idx="4">
                  <c:v>46.616541353383454</c:v>
                </c:pt>
                <c:pt idx="5">
                  <c:v>45.393858477970625</c:v>
                </c:pt>
                <c:pt idx="6">
                  <c:v>44.273907910271546</c:v>
                </c:pt>
                <c:pt idx="7">
                  <c:v>42.82560706401766</c:v>
                </c:pt>
                <c:pt idx="8">
                  <c:v>42.544731610337969</c:v>
                </c:pt>
                <c:pt idx="9">
                  <c:v>41.492265696087358</c:v>
                </c:pt>
                <c:pt idx="10">
                  <c:v>40.470193115029382</c:v>
                </c:pt>
                <c:pt idx="11">
                  <c:v>39.189189189189186</c:v>
                </c:pt>
                <c:pt idx="12">
                  <c:v>38.941655359565807</c:v>
                </c:pt>
                <c:pt idx="13">
                  <c:v>37.876960193003619</c:v>
                </c:pt>
                <c:pt idx="14">
                  <c:v>36.568364611260051</c:v>
                </c:pt>
                <c:pt idx="15">
                  <c:v>36.185819070904643</c:v>
                </c:pt>
                <c:pt idx="16">
                  <c:v>33.617828354670458</c:v>
                </c:pt>
                <c:pt idx="17">
                  <c:v>33.003867640739145</c:v>
                </c:pt>
                <c:pt idx="18">
                  <c:v>30.98705501618123</c:v>
                </c:pt>
                <c:pt idx="19">
                  <c:v>28.851851851851851</c:v>
                </c:pt>
                <c:pt idx="20">
                  <c:v>26.932515337423311</c:v>
                </c:pt>
                <c:pt idx="21">
                  <c:v>25.428887659103488</c:v>
                </c:pt>
                <c:pt idx="22">
                  <c:v>24.538063562453807</c:v>
                </c:pt>
                <c:pt idx="23">
                  <c:v>23.424021234240211</c:v>
                </c:pt>
                <c:pt idx="24">
                  <c:v>21.517343721016509</c:v>
                </c:pt>
                <c:pt idx="25">
                  <c:v>20.528488852188271</c:v>
                </c:pt>
                <c:pt idx="26">
                  <c:v>19.862326115015058</c:v>
                </c:pt>
                <c:pt idx="27">
                  <c:v>18.304189206189459</c:v>
                </c:pt>
                <c:pt idx="28">
                  <c:v>17.524536532170121</c:v>
                </c:pt>
                <c:pt idx="29">
                  <c:v>16.828968516592607</c:v>
                </c:pt>
                <c:pt idx="30">
                  <c:v>15.905848787446505</c:v>
                </c:pt>
                <c:pt idx="31">
                  <c:v>15.487920097179106</c:v>
                </c:pt>
                <c:pt idx="32">
                  <c:v>14.692671394799053</c:v>
                </c:pt>
                <c:pt idx="33">
                  <c:v>14.066416040100252</c:v>
                </c:pt>
                <c:pt idx="34">
                  <c:v>13.820529615420604</c:v>
                </c:pt>
                <c:pt idx="35">
                  <c:v>13.634236610371378</c:v>
                </c:pt>
                <c:pt idx="36">
                  <c:v>13.193403298350825</c:v>
                </c:pt>
                <c:pt idx="37">
                  <c:v>12.903109182935646</c:v>
                </c:pt>
                <c:pt idx="38">
                  <c:v>12.678659844858888</c:v>
                </c:pt>
                <c:pt idx="39">
                  <c:v>12.443023737642811</c:v>
                </c:pt>
                <c:pt idx="40">
                  <c:v>12.514732669023893</c:v>
                </c:pt>
                <c:pt idx="41">
                  <c:v>12.420228195706827</c:v>
                </c:pt>
                <c:pt idx="42">
                  <c:v>12.381058495821726</c:v>
                </c:pt>
                <c:pt idx="43">
                  <c:v>12.573428577276541</c:v>
                </c:pt>
                <c:pt idx="44">
                  <c:v>12.834827517230094</c:v>
                </c:pt>
                <c:pt idx="45">
                  <c:v>12.920032584345936</c:v>
                </c:pt>
                <c:pt idx="46">
                  <c:v>12.832987598310625</c:v>
                </c:pt>
                <c:pt idx="47">
                  <c:v>12.996782089716438</c:v>
                </c:pt>
                <c:pt idx="48">
                  <c:v>12.662732058062062</c:v>
                </c:pt>
                <c:pt idx="49">
                  <c:v>12.861255551340134</c:v>
                </c:pt>
                <c:pt idx="50">
                  <c:v>13.079715015459067</c:v>
                </c:pt>
                <c:pt idx="51">
                  <c:v>13.241198636963352</c:v>
                </c:pt>
                <c:pt idx="52">
                  <c:v>13.321328218110326</c:v>
                </c:pt>
                <c:pt idx="53">
                  <c:v>13.392982950542484</c:v>
                </c:pt>
                <c:pt idx="54">
                  <c:v>13.555749792057291</c:v>
                </c:pt>
                <c:pt idx="55">
                  <c:v>13.523020107717675</c:v>
                </c:pt>
                <c:pt idx="56">
                  <c:v>13.622187508564224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A46-4F1B-99DB-B3FB66D63FE8}"/>
            </c:ext>
          </c:extLst>
        </c:ser>
        <c:ser>
          <c:idx val="2"/>
          <c:order val="2"/>
          <c:tx>
            <c:strRef>
              <c:f>Sheet1!$N$2</c:f>
              <c:strCache>
                <c:ptCount val="1"/>
                <c:pt idx="0">
                  <c:v>Buses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Sheet1!$K$3:$K$59</c:f>
              <c:numCache>
                <c:formatCode>General</c:formatCode>
                <c:ptCount val="57"/>
                <c:pt idx="0">
                  <c:v>1951</c:v>
                </c:pt>
                <c:pt idx="1">
                  <c:v>1956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</c:numCache>
            </c:numRef>
          </c:xVal>
          <c:yVal>
            <c:numRef>
              <c:f>Sheet1!$N$3:$N$59</c:f>
              <c:numCache>
                <c:formatCode>General</c:formatCode>
                <c:ptCount val="57"/>
                <c:pt idx="0">
                  <c:v>11.111111111111111</c:v>
                </c:pt>
                <c:pt idx="1">
                  <c:v>11.032863849765258</c:v>
                </c:pt>
                <c:pt idx="2">
                  <c:v>8.5409252669039155</c:v>
                </c:pt>
                <c:pt idx="3">
                  <c:v>8.9256198347107443</c:v>
                </c:pt>
                <c:pt idx="4">
                  <c:v>8.5714285714285712</c:v>
                </c:pt>
                <c:pt idx="5">
                  <c:v>8.0106809078771697</c:v>
                </c:pt>
                <c:pt idx="6">
                  <c:v>7.4380165289256199</c:v>
                </c:pt>
                <c:pt idx="7">
                  <c:v>7.3951434878587197</c:v>
                </c:pt>
                <c:pt idx="8">
                  <c:v>6.9582504970178931</c:v>
                </c:pt>
                <c:pt idx="9">
                  <c:v>6.6424021838034575</c:v>
                </c:pt>
                <c:pt idx="10">
                  <c:v>6.3811922753988242</c:v>
                </c:pt>
                <c:pt idx="11">
                  <c:v>6.2312312312312308</c:v>
                </c:pt>
                <c:pt idx="12">
                  <c:v>5.8344640434192669</c:v>
                </c:pt>
                <c:pt idx="13">
                  <c:v>5.5488540410132687</c:v>
                </c:pt>
                <c:pt idx="14">
                  <c:v>5.0402144772117961</c:v>
                </c:pt>
                <c:pt idx="15">
                  <c:v>4.8899755501222497</c:v>
                </c:pt>
                <c:pt idx="16">
                  <c:v>4.5045045045045047</c:v>
                </c:pt>
                <c:pt idx="17">
                  <c:v>4.5122475290073059</c:v>
                </c:pt>
                <c:pt idx="18">
                  <c:v>4.6116504854368934</c:v>
                </c:pt>
                <c:pt idx="19">
                  <c:v>4.2592592592592595</c:v>
                </c:pt>
                <c:pt idx="20">
                  <c:v>3.6503067484662575</c:v>
                </c:pt>
                <c:pt idx="21">
                  <c:v>3.4311012728278918</c:v>
                </c:pt>
                <c:pt idx="22">
                  <c:v>3.2766691303276669</c:v>
                </c:pt>
                <c:pt idx="23">
                  <c:v>3.0966600309666004</c:v>
                </c:pt>
                <c:pt idx="24">
                  <c:v>3.005008347245409</c:v>
                </c:pt>
                <c:pt idx="25">
                  <c:v>2.8571428571428572</c:v>
                </c:pt>
                <c:pt idx="26">
                  <c:v>2.6530904918973182</c:v>
                </c:pt>
                <c:pt idx="27">
                  <c:v>2.5034595546609637</c:v>
                </c:pt>
                <c:pt idx="28">
                  <c:v>2.431842966194111</c:v>
                </c:pt>
                <c:pt idx="29">
                  <c:v>2.1461662097002931</c:v>
                </c:pt>
                <c:pt idx="30">
                  <c:v>1.9416706292597876</c:v>
                </c:pt>
                <c:pt idx="31">
                  <c:v>1.8153596976650019</c:v>
                </c:pt>
                <c:pt idx="32">
                  <c:v>1.6430260047281324</c:v>
                </c:pt>
                <c:pt idx="33">
                  <c:v>1.5559732664995822</c:v>
                </c:pt>
                <c:pt idx="34">
                  <c:v>1.5486104613081313</c:v>
                </c:pt>
                <c:pt idx="35">
                  <c:v>1.5229506104564599</c:v>
                </c:pt>
                <c:pt idx="36">
                  <c:v>1.4992503748125936</c:v>
                </c:pt>
                <c:pt idx="37">
                  <c:v>1.4172089660159073</c:v>
                </c:pt>
                <c:pt idx="38">
                  <c:v>1.3962700115530615</c:v>
                </c:pt>
                <c:pt idx="39">
                  <c:v>1.3289528206949623</c:v>
                </c:pt>
                <c:pt idx="40">
                  <c:v>1.2964748741026466</c:v>
                </c:pt>
                <c:pt idx="41">
                  <c:v>1.3005221427190099</c:v>
                </c:pt>
                <c:pt idx="42">
                  <c:v>1.2033426183844012</c:v>
                </c:pt>
                <c:pt idx="43">
                  <c:v>1.1502957610987166</c:v>
                </c:pt>
                <c:pt idx="44">
                  <c:v>1.1529159316979141</c:v>
                </c:pt>
                <c:pt idx="45">
                  <c:v>1.0776593578168487</c:v>
                </c:pt>
                <c:pt idx="46">
                  <c:v>1.0760069843449191</c:v>
                </c:pt>
                <c:pt idx="47">
                  <c:v>1.0561346571687891</c:v>
                </c:pt>
                <c:pt idx="48">
                  <c:v>1.094491956956527</c:v>
                </c:pt>
                <c:pt idx="49">
                  <c:v>1.106920484724051</c:v>
                </c:pt>
                <c:pt idx="50">
                  <c:v>1.3959692679950779</c:v>
                </c:pt>
                <c:pt idx="51">
                  <c:v>1.3544939394227027</c:v>
                </c:pt>
                <c:pt idx="52">
                  <c:v>1.29272472618768</c:v>
                </c:pt>
                <c:pt idx="53">
                  <c:v>1.1953407543093326</c:v>
                </c:pt>
                <c:pt idx="54">
                  <c:v>1.1306444109229836</c:v>
                </c:pt>
                <c:pt idx="55">
                  <c:v>1.051469988902195</c:v>
                </c:pt>
                <c:pt idx="56">
                  <c:v>1.0381210775850256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4A46-4F1B-99DB-B3FB66D63FE8}"/>
            </c:ext>
          </c:extLst>
        </c:ser>
        <c:ser>
          <c:idx val="3"/>
          <c:order val="3"/>
          <c:tx>
            <c:strRef>
              <c:f>Sheet1!$O$2</c:f>
              <c:strCache>
                <c:ptCount val="1"/>
                <c:pt idx="0">
                  <c:v>Trucks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Sheet1!$K$3:$K$59</c:f>
              <c:numCache>
                <c:formatCode>General</c:formatCode>
                <c:ptCount val="57"/>
                <c:pt idx="0">
                  <c:v>1951</c:v>
                </c:pt>
                <c:pt idx="1">
                  <c:v>1956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</c:numCache>
            </c:numRef>
          </c:xVal>
          <c:yVal>
            <c:numRef>
              <c:f>Sheet1!$O$3:$O$59</c:f>
              <c:numCache>
                <c:formatCode>General</c:formatCode>
                <c:ptCount val="57"/>
                <c:pt idx="0">
                  <c:v>26.797385620915033</c:v>
                </c:pt>
                <c:pt idx="1">
                  <c:v>27.93427230046948</c:v>
                </c:pt>
                <c:pt idx="2">
                  <c:v>26.334519572953734</c:v>
                </c:pt>
                <c:pt idx="3">
                  <c:v>25.950413223140494</c:v>
                </c:pt>
                <c:pt idx="4">
                  <c:v>25.263157894736842</c:v>
                </c:pt>
                <c:pt idx="5">
                  <c:v>25.233644859813083</c:v>
                </c:pt>
                <c:pt idx="6">
                  <c:v>25.38370720188902</c:v>
                </c:pt>
                <c:pt idx="7">
                  <c:v>24.724061810154527</c:v>
                </c:pt>
                <c:pt idx="8">
                  <c:v>24.055666003976143</c:v>
                </c:pt>
                <c:pt idx="9">
                  <c:v>23.566878980891719</c:v>
                </c:pt>
                <c:pt idx="10">
                  <c:v>22.334172963895885</c:v>
                </c:pt>
                <c:pt idx="11">
                  <c:v>21.396396396396398</c:v>
                </c:pt>
                <c:pt idx="12">
                  <c:v>20.217096336499321</c:v>
                </c:pt>
                <c:pt idx="13">
                  <c:v>19.420989143546443</c:v>
                </c:pt>
                <c:pt idx="14">
                  <c:v>18.391420911528151</c:v>
                </c:pt>
                <c:pt idx="15">
                  <c:v>17.799511002444987</c:v>
                </c:pt>
                <c:pt idx="16">
                  <c:v>14.604077761972498</c:v>
                </c:pt>
                <c:pt idx="17">
                  <c:v>13.880532874946283</c:v>
                </c:pt>
                <c:pt idx="18">
                  <c:v>13.551779935275082</c:v>
                </c:pt>
                <c:pt idx="19">
                  <c:v>13</c:v>
                </c:pt>
                <c:pt idx="20">
                  <c:v>11.748466257668712</c:v>
                </c:pt>
                <c:pt idx="21">
                  <c:v>11.151079136690647</c:v>
                </c:pt>
                <c:pt idx="22">
                  <c:v>10.938654841093866</c:v>
                </c:pt>
                <c:pt idx="23">
                  <c:v>10.46228710462287</c:v>
                </c:pt>
                <c:pt idx="24">
                  <c:v>10.276386570209608</c:v>
                </c:pt>
                <c:pt idx="25">
                  <c:v>10.123864574731627</c:v>
                </c:pt>
                <c:pt idx="26">
                  <c:v>9.6801950380037294</c:v>
                </c:pt>
                <c:pt idx="27">
                  <c:v>9.3345074852182659</c:v>
                </c:pt>
                <c:pt idx="28">
                  <c:v>8.9640130861504908</c:v>
                </c:pt>
                <c:pt idx="29">
                  <c:v>8.1592133875389994</c:v>
                </c:pt>
                <c:pt idx="30">
                  <c:v>7.7983832620066567</c:v>
                </c:pt>
                <c:pt idx="31">
                  <c:v>7.5178836550141721</c:v>
                </c:pt>
                <c:pt idx="32">
                  <c:v>6.9680851063829792</c:v>
                </c:pt>
                <c:pt idx="33">
                  <c:v>6.4640768588137014</c:v>
                </c:pt>
                <c:pt idx="34">
                  <c:v>6.3441564517638254</c:v>
                </c:pt>
                <c:pt idx="35">
                  <c:v>6.4406347045560892</c:v>
                </c:pt>
                <c:pt idx="36">
                  <c:v>6.2810699913201287</c:v>
                </c:pt>
                <c:pt idx="37">
                  <c:v>6.1135213304410696</c:v>
                </c:pt>
                <c:pt idx="38">
                  <c:v>5.9217692688562469</c:v>
                </c:pt>
                <c:pt idx="39">
                  <c:v>6.0113656544130709</c:v>
                </c:pt>
                <c:pt idx="40">
                  <c:v>6.2761170041787206</c:v>
                </c:pt>
                <c:pt idx="41">
                  <c:v>6.1303422935602399</c:v>
                </c:pt>
                <c:pt idx="42">
                  <c:v>5.6913649025069635</c:v>
                </c:pt>
                <c:pt idx="43">
                  <c:v>5.557033792496469</c:v>
                </c:pt>
                <c:pt idx="44">
                  <c:v>5.360877234456547</c:v>
                </c:pt>
                <c:pt idx="45">
                  <c:v>5.0471794175548164</c:v>
                </c:pt>
                <c:pt idx="46">
                  <c:v>5.2113958243168623</c:v>
                </c:pt>
                <c:pt idx="47">
                  <c:v>5.1555323303721226</c:v>
                </c:pt>
                <c:pt idx="48">
                  <c:v>4.9460729579504044</c:v>
                </c:pt>
                <c:pt idx="49">
                  <c:v>4.9498984578990832</c:v>
                </c:pt>
                <c:pt idx="50">
                  <c:v>5.2933086539754104</c:v>
                </c:pt>
                <c:pt idx="51">
                  <c:v>5.3164124419807699</c:v>
                </c:pt>
                <c:pt idx="52">
                  <c:v>5.2552826856660664</c:v>
                </c:pt>
                <c:pt idx="53">
                  <c:v>5.0349913108825328</c:v>
                </c:pt>
                <c:pt idx="54">
                  <c:v>4.9793467074563322</c:v>
                </c:pt>
                <c:pt idx="55">
                  <c:v>4.8015248509320276</c:v>
                </c:pt>
                <c:pt idx="56">
                  <c:v>4.7121050179506154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4A46-4F1B-99DB-B3FB66D63FE8}"/>
            </c:ext>
          </c:extLst>
        </c:ser>
        <c:ser>
          <c:idx val="4"/>
          <c:order val="4"/>
          <c:tx>
            <c:strRef>
              <c:f>Sheet1!$P$2</c:f>
              <c:strCache>
                <c:ptCount val="1"/>
                <c:pt idx="0">
                  <c:v>Others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Sheet1!$K$3:$K$59</c:f>
              <c:numCache>
                <c:formatCode>General</c:formatCode>
                <c:ptCount val="57"/>
                <c:pt idx="0">
                  <c:v>1951</c:v>
                </c:pt>
                <c:pt idx="1">
                  <c:v>1956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</c:numCache>
            </c:numRef>
          </c:xVal>
          <c:yVal>
            <c:numRef>
              <c:f>Sheet1!$P$3:$P$59</c:f>
              <c:numCache>
                <c:formatCode>General</c:formatCode>
                <c:ptCount val="57"/>
                <c:pt idx="0">
                  <c:v>1.3071895424836601</c:v>
                </c:pt>
                <c:pt idx="1">
                  <c:v>3.755868544600939</c:v>
                </c:pt>
                <c:pt idx="2">
                  <c:v>5.6939501779359425</c:v>
                </c:pt>
                <c:pt idx="3">
                  <c:v>5.9504132231404956</c:v>
                </c:pt>
                <c:pt idx="4">
                  <c:v>6.3157894736842106</c:v>
                </c:pt>
                <c:pt idx="5">
                  <c:v>5.8744993324432571</c:v>
                </c:pt>
                <c:pt idx="6">
                  <c:v>6.3754427390791024</c:v>
                </c:pt>
                <c:pt idx="7">
                  <c:v>6.5121412803532008</c:v>
                </c:pt>
                <c:pt idx="8">
                  <c:v>6.3618290258449299</c:v>
                </c:pt>
                <c:pt idx="9">
                  <c:v>7.7343039126478619</c:v>
                </c:pt>
                <c:pt idx="10">
                  <c:v>6.8010075566750636</c:v>
                </c:pt>
                <c:pt idx="11">
                  <c:v>7.1321321321321323</c:v>
                </c:pt>
                <c:pt idx="12">
                  <c:v>6.7164179104477615</c:v>
                </c:pt>
                <c:pt idx="13">
                  <c:v>6.8154402895054282</c:v>
                </c:pt>
                <c:pt idx="14">
                  <c:v>9.1152815013404833</c:v>
                </c:pt>
                <c:pt idx="15">
                  <c:v>9.0464547677261606</c:v>
                </c:pt>
                <c:pt idx="16">
                  <c:v>12.470365101944049</c:v>
                </c:pt>
                <c:pt idx="17">
                  <c:v>12.59131929522991</c:v>
                </c:pt>
                <c:pt idx="18">
                  <c:v>12.580906148867314</c:v>
                </c:pt>
                <c:pt idx="19">
                  <c:v>14.74074074074074</c:v>
                </c:pt>
                <c:pt idx="20">
                  <c:v>14.263803680981596</c:v>
                </c:pt>
                <c:pt idx="21">
                  <c:v>15.218594355285003</c:v>
                </c:pt>
                <c:pt idx="22">
                  <c:v>14.73269278147327</c:v>
                </c:pt>
                <c:pt idx="23">
                  <c:v>16.191108161911082</c:v>
                </c:pt>
                <c:pt idx="24">
                  <c:v>16.638842515303285</c:v>
                </c:pt>
                <c:pt idx="25">
                  <c:v>15.871180842279109</c:v>
                </c:pt>
                <c:pt idx="26">
                  <c:v>15.402265882690378</c:v>
                </c:pt>
                <c:pt idx="27">
                  <c:v>15.121398918102907</c:v>
                </c:pt>
                <c:pt idx="28">
                  <c:v>14.601962922573611</c:v>
                </c:pt>
                <c:pt idx="29">
                  <c:v>13.822444927673253</c:v>
                </c:pt>
                <c:pt idx="30">
                  <c:v>13.021080995403391</c:v>
                </c:pt>
                <c:pt idx="31">
                  <c:v>12.417330273991093</c:v>
                </c:pt>
                <c:pt idx="32">
                  <c:v>11.891252955082743</c:v>
                </c:pt>
                <c:pt idx="33">
                  <c:v>12.066624895572264</c:v>
                </c:pt>
                <c:pt idx="34">
                  <c:v>11.850846823243193</c:v>
                </c:pt>
                <c:pt idx="35">
                  <c:v>11.779469945122729</c:v>
                </c:pt>
                <c:pt idx="36">
                  <c:v>11.717825297877377</c:v>
                </c:pt>
                <c:pt idx="37">
                  <c:v>11.240057845263919</c:v>
                </c:pt>
                <c:pt idx="38">
                  <c:v>11.24277933652418</c:v>
                </c:pt>
                <c:pt idx="39">
                  <c:v>11.395252471437873</c:v>
                </c:pt>
                <c:pt idx="40">
                  <c:v>10.99324975891996</c:v>
                </c:pt>
                <c:pt idx="41">
                  <c:v>10.911815896345001</c:v>
                </c:pt>
                <c:pt idx="42">
                  <c:v>10.912534818941504</c:v>
                </c:pt>
                <c:pt idx="43">
                  <c:v>10.88687393822789</c:v>
                </c:pt>
                <c:pt idx="44">
                  <c:v>10.538088050771945</c:v>
                </c:pt>
                <c:pt idx="45">
                  <c:v>10.387957368814066</c:v>
                </c:pt>
                <c:pt idx="46">
                  <c:v>9.9631381795931766</c:v>
                </c:pt>
                <c:pt idx="47">
                  <c:v>9.389697186391265</c:v>
                </c:pt>
                <c:pt idx="48">
                  <c:v>9.1498055190861241</c:v>
                </c:pt>
                <c:pt idx="49">
                  <c:v>8.8386261688500092</c:v>
                </c:pt>
                <c:pt idx="50">
                  <c:v>8.7480740794358223</c:v>
                </c:pt>
                <c:pt idx="51">
                  <c:v>8.5797272028323821</c:v>
                </c:pt>
                <c:pt idx="52">
                  <c:v>8.4470774503919053</c:v>
                </c:pt>
                <c:pt idx="53">
                  <c:v>8.6734613999655572</c:v>
                </c:pt>
                <c:pt idx="54">
                  <c:v>8.5305852001184217</c:v>
                </c:pt>
                <c:pt idx="55">
                  <c:v>8.2568922384335171</c:v>
                </c:pt>
                <c:pt idx="56">
                  <c:v>7.9755542766313141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4A46-4F1B-99DB-B3FB66D63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450064"/>
        <c:axId val="875450608"/>
      </c:scatterChart>
      <c:valAx>
        <c:axId val="875450064"/>
        <c:scaling>
          <c:orientation val="minMax"/>
          <c:max val="2013"/>
          <c:min val="194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450608"/>
        <c:crosses val="autoZero"/>
        <c:crossBetween val="midCat"/>
      </c:valAx>
      <c:valAx>
        <c:axId val="8754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450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219075</xdr:colOff>
      <xdr:row>13</xdr:row>
      <xdr:rowOff>80961</xdr:rowOff>
    </xdr:from>
    <xdr:to>
      <xdr:col>33</xdr:col>
      <xdr:colOff>66675</xdr:colOff>
      <xdr:row>32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xSplit="9" ySplit="19" topLeftCell="J47" activePane="bottomRight" state="frozen"/>
      <selection pane="topRight" activeCell="O1" sqref="O1"/>
      <selection pane="bottomLeft" activeCell="A20" sqref="A20"/>
      <selection pane="bottomRight" activeCell="B59" sqref="B59:G61"/>
    </sheetView>
  </sheetViews>
  <sheetFormatPr defaultRowHeight="15" x14ac:dyDescent="0.25"/>
  <cols>
    <col min="1" max="1" width="16.7109375" bestFit="1" customWidth="1"/>
    <col min="2" max="3" width="14.7109375" bestFit="1" customWidth="1"/>
    <col min="4" max="6" width="13.7109375" bestFit="1" customWidth="1"/>
    <col min="7" max="7" width="1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1951</v>
      </c>
      <c r="B2">
        <v>306</v>
      </c>
      <c r="C2">
        <v>27</v>
      </c>
      <c r="D2">
        <v>159</v>
      </c>
      <c r="E2">
        <v>34</v>
      </c>
      <c r="F2">
        <v>82</v>
      </c>
      <c r="G2">
        <v>4</v>
      </c>
    </row>
    <row r="3" spans="1:7" x14ac:dyDescent="0.25">
      <c r="A3">
        <v>1956</v>
      </c>
      <c r="B3">
        <v>426</v>
      </c>
      <c r="C3">
        <v>41</v>
      </c>
      <c r="D3">
        <v>203</v>
      </c>
      <c r="E3">
        <v>47</v>
      </c>
      <c r="F3">
        <v>119</v>
      </c>
      <c r="G3">
        <v>16</v>
      </c>
    </row>
    <row r="4" spans="1:7" x14ac:dyDescent="0.25">
      <c r="A4">
        <v>1959</v>
      </c>
      <c r="B4">
        <v>562</v>
      </c>
      <c r="C4">
        <v>67</v>
      </c>
      <c r="D4">
        <v>267</v>
      </c>
      <c r="E4">
        <v>48</v>
      </c>
      <c r="F4">
        <v>148</v>
      </c>
      <c r="G4">
        <v>32</v>
      </c>
    </row>
    <row r="5" spans="1:7" x14ac:dyDescent="0.25">
      <c r="A5">
        <v>1960</v>
      </c>
      <c r="B5">
        <v>605</v>
      </c>
      <c r="C5">
        <v>76</v>
      </c>
      <c r="D5">
        <v>282</v>
      </c>
      <c r="E5">
        <v>54</v>
      </c>
      <c r="F5">
        <v>157</v>
      </c>
      <c r="G5">
        <v>36</v>
      </c>
    </row>
    <row r="6" spans="1:7" x14ac:dyDescent="0.25">
      <c r="A6">
        <v>1961</v>
      </c>
      <c r="B6">
        <v>665</v>
      </c>
      <c r="C6">
        <v>88</v>
      </c>
      <c r="D6">
        <v>310</v>
      </c>
      <c r="E6">
        <v>57</v>
      </c>
      <c r="F6">
        <v>168</v>
      </c>
      <c r="G6">
        <v>42</v>
      </c>
    </row>
    <row r="7" spans="1:7" x14ac:dyDescent="0.25">
      <c r="A7">
        <v>1962</v>
      </c>
      <c r="B7">
        <v>749</v>
      </c>
      <c r="C7">
        <v>116</v>
      </c>
      <c r="D7">
        <v>340</v>
      </c>
      <c r="E7">
        <v>60</v>
      </c>
      <c r="F7">
        <v>189</v>
      </c>
      <c r="G7">
        <v>44</v>
      </c>
    </row>
    <row r="8" spans="1:7" x14ac:dyDescent="0.25">
      <c r="A8">
        <v>1963</v>
      </c>
      <c r="B8">
        <v>847</v>
      </c>
      <c r="C8">
        <v>140</v>
      </c>
      <c r="D8">
        <v>375</v>
      </c>
      <c r="E8">
        <v>63</v>
      </c>
      <c r="F8">
        <v>215</v>
      </c>
      <c r="G8">
        <v>54</v>
      </c>
    </row>
    <row r="9" spans="1:7" x14ac:dyDescent="0.25">
      <c r="A9">
        <v>1964</v>
      </c>
      <c r="B9">
        <v>906</v>
      </c>
      <c r="C9">
        <v>168</v>
      </c>
      <c r="D9">
        <v>388</v>
      </c>
      <c r="E9">
        <v>67</v>
      </c>
      <c r="F9">
        <v>224</v>
      </c>
      <c r="G9">
        <v>59</v>
      </c>
    </row>
    <row r="10" spans="1:7" x14ac:dyDescent="0.25">
      <c r="A10">
        <v>1965</v>
      </c>
      <c r="B10">
        <v>1006</v>
      </c>
      <c r="C10">
        <v>202</v>
      </c>
      <c r="D10">
        <v>428</v>
      </c>
      <c r="E10">
        <v>70</v>
      </c>
      <c r="F10">
        <v>242</v>
      </c>
      <c r="G10">
        <v>64</v>
      </c>
    </row>
    <row r="11" spans="1:7" x14ac:dyDescent="0.25">
      <c r="A11">
        <v>1966</v>
      </c>
      <c r="B11">
        <v>1099</v>
      </c>
      <c r="C11">
        <v>226</v>
      </c>
      <c r="D11">
        <v>456</v>
      </c>
      <c r="E11">
        <v>73</v>
      </c>
      <c r="F11">
        <v>259</v>
      </c>
      <c r="G11">
        <v>85</v>
      </c>
    </row>
    <row r="12" spans="1:7" x14ac:dyDescent="0.25">
      <c r="A12">
        <v>1967</v>
      </c>
      <c r="B12">
        <v>1191</v>
      </c>
      <c r="C12">
        <v>286</v>
      </c>
      <c r="D12">
        <v>482</v>
      </c>
      <c r="E12">
        <v>76</v>
      </c>
      <c r="F12">
        <v>266</v>
      </c>
      <c r="G12">
        <v>81</v>
      </c>
    </row>
    <row r="13" spans="1:7" x14ac:dyDescent="0.25">
      <c r="A13">
        <v>1968</v>
      </c>
      <c r="B13">
        <v>1332</v>
      </c>
      <c r="C13">
        <v>347</v>
      </c>
      <c r="D13">
        <v>522</v>
      </c>
      <c r="E13">
        <v>83</v>
      </c>
      <c r="F13">
        <v>285</v>
      </c>
      <c r="G13">
        <v>95</v>
      </c>
    </row>
    <row r="14" spans="1:7" x14ac:dyDescent="0.25">
      <c r="A14">
        <v>1969</v>
      </c>
      <c r="B14">
        <v>1474</v>
      </c>
      <c r="C14">
        <v>417</v>
      </c>
      <c r="D14">
        <v>574</v>
      </c>
      <c r="E14">
        <v>86</v>
      </c>
      <c r="F14">
        <v>298</v>
      </c>
      <c r="G14">
        <v>99</v>
      </c>
    </row>
    <row r="15" spans="1:7" x14ac:dyDescent="0.25">
      <c r="A15">
        <v>1970</v>
      </c>
      <c r="B15">
        <v>1658</v>
      </c>
      <c r="C15">
        <v>503</v>
      </c>
      <c r="D15">
        <v>628</v>
      </c>
      <c r="E15">
        <v>92</v>
      </c>
      <c r="F15">
        <v>322</v>
      </c>
      <c r="G15">
        <v>113</v>
      </c>
    </row>
    <row r="16" spans="1:7" x14ac:dyDescent="0.25">
      <c r="A16">
        <v>1971</v>
      </c>
      <c r="B16">
        <v>1865</v>
      </c>
      <c r="C16">
        <v>576</v>
      </c>
      <c r="D16">
        <v>682</v>
      </c>
      <c r="E16">
        <v>94</v>
      </c>
      <c r="F16">
        <v>343</v>
      </c>
      <c r="G16">
        <v>170</v>
      </c>
    </row>
    <row r="17" spans="1:7" x14ac:dyDescent="0.25">
      <c r="A17">
        <v>1972</v>
      </c>
      <c r="B17">
        <v>2045</v>
      </c>
      <c r="C17">
        <v>656</v>
      </c>
      <c r="D17">
        <v>740</v>
      </c>
      <c r="E17">
        <v>100</v>
      </c>
      <c r="F17">
        <v>364</v>
      </c>
      <c r="G17">
        <v>185</v>
      </c>
    </row>
    <row r="18" spans="1:7" x14ac:dyDescent="0.25">
      <c r="A18">
        <v>1973</v>
      </c>
      <c r="B18">
        <v>2109</v>
      </c>
      <c r="C18">
        <v>734</v>
      </c>
      <c r="D18">
        <v>709</v>
      </c>
      <c r="E18">
        <v>95</v>
      </c>
      <c r="F18">
        <v>308</v>
      </c>
      <c r="G18">
        <v>263</v>
      </c>
    </row>
    <row r="19" spans="1:7" x14ac:dyDescent="0.25">
      <c r="A19">
        <v>1974</v>
      </c>
      <c r="B19">
        <v>2327</v>
      </c>
      <c r="C19">
        <v>838</v>
      </c>
      <c r="D19">
        <v>768</v>
      </c>
      <c r="E19">
        <v>105</v>
      </c>
      <c r="F19">
        <v>323</v>
      </c>
      <c r="G19">
        <v>293</v>
      </c>
    </row>
    <row r="20" spans="1:7" x14ac:dyDescent="0.25">
      <c r="A20">
        <v>1975</v>
      </c>
      <c r="B20">
        <v>2472</v>
      </c>
      <c r="C20">
        <v>946</v>
      </c>
      <c r="D20">
        <v>766</v>
      </c>
      <c r="E20">
        <v>114</v>
      </c>
      <c r="F20">
        <v>335</v>
      </c>
      <c r="G20">
        <v>311</v>
      </c>
    </row>
    <row r="21" spans="1:7" x14ac:dyDescent="0.25">
      <c r="A21">
        <v>1976</v>
      </c>
      <c r="B21">
        <v>2700</v>
      </c>
      <c r="C21">
        <v>1057</v>
      </c>
      <c r="D21">
        <v>779</v>
      </c>
      <c r="E21">
        <v>115</v>
      </c>
      <c r="F21">
        <v>351</v>
      </c>
      <c r="G21">
        <v>398</v>
      </c>
    </row>
    <row r="22" spans="1:7" x14ac:dyDescent="0.25">
      <c r="A22">
        <v>1977</v>
      </c>
      <c r="B22">
        <v>3260</v>
      </c>
      <c r="C22">
        <v>1415</v>
      </c>
      <c r="D22">
        <v>878</v>
      </c>
      <c r="E22">
        <v>119</v>
      </c>
      <c r="F22">
        <v>383</v>
      </c>
      <c r="G22">
        <v>465</v>
      </c>
    </row>
    <row r="23" spans="1:7" x14ac:dyDescent="0.25">
      <c r="A23">
        <v>1978</v>
      </c>
      <c r="B23">
        <v>3614</v>
      </c>
      <c r="C23">
        <v>1618</v>
      </c>
      <c r="D23">
        <v>919</v>
      </c>
      <c r="E23">
        <v>124</v>
      </c>
      <c r="F23">
        <v>403</v>
      </c>
      <c r="G23">
        <v>550</v>
      </c>
    </row>
    <row r="24" spans="1:7" x14ac:dyDescent="0.25">
      <c r="A24">
        <v>1979</v>
      </c>
      <c r="B24">
        <v>4059</v>
      </c>
      <c r="C24">
        <v>1888</v>
      </c>
      <c r="D24">
        <v>996</v>
      </c>
      <c r="E24">
        <v>133</v>
      </c>
      <c r="F24">
        <v>444</v>
      </c>
      <c r="G24">
        <v>598</v>
      </c>
    </row>
    <row r="25" spans="1:7" x14ac:dyDescent="0.25">
      <c r="A25">
        <v>1980</v>
      </c>
      <c r="B25">
        <v>4521</v>
      </c>
      <c r="C25">
        <v>2117</v>
      </c>
      <c r="D25">
        <v>1059</v>
      </c>
      <c r="E25">
        <v>140</v>
      </c>
      <c r="F25">
        <v>473</v>
      </c>
      <c r="G25">
        <v>732</v>
      </c>
    </row>
    <row r="26" spans="1:7" x14ac:dyDescent="0.25">
      <c r="A26">
        <v>1981</v>
      </c>
      <c r="B26">
        <v>5391</v>
      </c>
      <c r="C26">
        <v>2618</v>
      </c>
      <c r="D26">
        <v>1160</v>
      </c>
      <c r="E26">
        <v>162</v>
      </c>
      <c r="F26">
        <v>554</v>
      </c>
      <c r="G26">
        <v>897</v>
      </c>
    </row>
    <row r="27" spans="1:7" x14ac:dyDescent="0.25">
      <c r="A27">
        <v>1982</v>
      </c>
      <c r="B27">
        <v>6055</v>
      </c>
      <c r="C27">
        <v>3065</v>
      </c>
      <c r="D27">
        <v>1243</v>
      </c>
      <c r="E27">
        <v>173</v>
      </c>
      <c r="F27">
        <v>613</v>
      </c>
      <c r="G27">
        <v>961</v>
      </c>
    </row>
    <row r="28" spans="1:7" x14ac:dyDescent="0.25">
      <c r="A28">
        <v>1983</v>
      </c>
      <c r="B28">
        <v>6973</v>
      </c>
      <c r="C28">
        <v>3654</v>
      </c>
      <c r="D28">
        <v>1385</v>
      </c>
      <c r="E28">
        <v>185</v>
      </c>
      <c r="F28">
        <v>675</v>
      </c>
      <c r="G28">
        <v>1074</v>
      </c>
    </row>
    <row r="29" spans="1:7" x14ac:dyDescent="0.25">
      <c r="A29">
        <v>1984</v>
      </c>
      <c r="B29">
        <v>7949</v>
      </c>
      <c r="C29">
        <v>4351</v>
      </c>
      <c r="D29">
        <v>1455</v>
      </c>
      <c r="E29">
        <v>199</v>
      </c>
      <c r="F29">
        <v>742</v>
      </c>
      <c r="G29">
        <v>1202</v>
      </c>
    </row>
    <row r="30" spans="1:7" x14ac:dyDescent="0.25">
      <c r="A30">
        <v>1985</v>
      </c>
      <c r="B30">
        <v>9170</v>
      </c>
      <c r="C30">
        <v>5179</v>
      </c>
      <c r="D30">
        <v>1607</v>
      </c>
      <c r="E30">
        <v>223</v>
      </c>
      <c r="F30">
        <v>822</v>
      </c>
      <c r="G30">
        <v>1339</v>
      </c>
    </row>
    <row r="31" spans="1:7" x14ac:dyDescent="0.25">
      <c r="A31">
        <v>1986</v>
      </c>
      <c r="B31">
        <v>10577</v>
      </c>
      <c r="C31">
        <v>6245</v>
      </c>
      <c r="D31">
        <v>1780</v>
      </c>
      <c r="E31">
        <v>227</v>
      </c>
      <c r="F31">
        <v>863</v>
      </c>
      <c r="G31">
        <v>1462</v>
      </c>
    </row>
    <row r="32" spans="1:7" x14ac:dyDescent="0.25">
      <c r="A32">
        <v>1987</v>
      </c>
      <c r="B32">
        <v>12618</v>
      </c>
      <c r="C32">
        <v>7739</v>
      </c>
      <c r="D32">
        <v>2007</v>
      </c>
      <c r="E32">
        <v>245</v>
      </c>
      <c r="F32">
        <v>984</v>
      </c>
      <c r="G32">
        <v>1643</v>
      </c>
    </row>
    <row r="33" spans="1:7" x14ac:dyDescent="0.25">
      <c r="A33">
        <v>1988</v>
      </c>
      <c r="B33">
        <v>14818</v>
      </c>
      <c r="C33">
        <v>9300</v>
      </c>
      <c r="D33">
        <v>2295</v>
      </c>
      <c r="E33">
        <v>269</v>
      </c>
      <c r="F33">
        <v>1114</v>
      </c>
      <c r="G33">
        <v>1840</v>
      </c>
    </row>
    <row r="34" spans="1:7" x14ac:dyDescent="0.25">
      <c r="A34">
        <v>1989</v>
      </c>
      <c r="B34">
        <v>16920</v>
      </c>
      <c r="C34">
        <v>10965</v>
      </c>
      <c r="D34">
        <v>2486</v>
      </c>
      <c r="E34">
        <v>278</v>
      </c>
      <c r="F34">
        <v>1179</v>
      </c>
      <c r="G34">
        <v>2012</v>
      </c>
    </row>
    <row r="35" spans="1:7" x14ac:dyDescent="0.25">
      <c r="A35">
        <v>1990</v>
      </c>
      <c r="B35">
        <v>19152</v>
      </c>
      <c r="C35">
        <v>12611</v>
      </c>
      <c r="D35">
        <v>2694</v>
      </c>
      <c r="E35">
        <v>298</v>
      </c>
      <c r="F35">
        <v>1238</v>
      </c>
      <c r="G35">
        <v>2311</v>
      </c>
    </row>
    <row r="36" spans="1:7" x14ac:dyDescent="0.25">
      <c r="A36">
        <v>1991</v>
      </c>
      <c r="B36">
        <v>21374</v>
      </c>
      <c r="C36">
        <v>14200</v>
      </c>
      <c r="D36">
        <v>2954</v>
      </c>
      <c r="E36">
        <v>331</v>
      </c>
      <c r="F36">
        <v>1356</v>
      </c>
      <c r="G36">
        <v>2533</v>
      </c>
    </row>
    <row r="37" spans="1:7" x14ac:dyDescent="0.25">
      <c r="A37">
        <v>1992</v>
      </c>
      <c r="B37">
        <v>23507</v>
      </c>
      <c r="C37">
        <v>15661</v>
      </c>
      <c r="D37">
        <v>3205</v>
      </c>
      <c r="E37">
        <v>358</v>
      </c>
      <c r="F37">
        <v>1514</v>
      </c>
      <c r="G37">
        <v>2769</v>
      </c>
    </row>
    <row r="38" spans="1:7" x14ac:dyDescent="0.25">
      <c r="A38">
        <v>1993</v>
      </c>
      <c r="B38">
        <v>25346</v>
      </c>
      <c r="C38">
        <v>17060</v>
      </c>
      <c r="D38">
        <v>3344</v>
      </c>
      <c r="E38">
        <v>380</v>
      </c>
      <c r="F38">
        <v>1592</v>
      </c>
      <c r="G38">
        <v>2970</v>
      </c>
    </row>
    <row r="39" spans="1:7" x14ac:dyDescent="0.25">
      <c r="A39">
        <v>1994</v>
      </c>
      <c r="B39">
        <v>27660</v>
      </c>
      <c r="C39">
        <v>18899</v>
      </c>
      <c r="D39">
        <v>3569</v>
      </c>
      <c r="E39">
        <v>392</v>
      </c>
      <c r="F39">
        <v>1691</v>
      </c>
      <c r="G39">
        <v>3109</v>
      </c>
    </row>
    <row r="40" spans="1:7" x14ac:dyDescent="0.25">
      <c r="A40">
        <v>1995</v>
      </c>
      <c r="B40">
        <v>30295</v>
      </c>
      <c r="C40">
        <v>20831</v>
      </c>
      <c r="D40">
        <v>3841</v>
      </c>
      <c r="E40">
        <v>423</v>
      </c>
      <c r="F40">
        <v>1794</v>
      </c>
      <c r="G40">
        <v>3406</v>
      </c>
    </row>
    <row r="41" spans="1:7" x14ac:dyDescent="0.25">
      <c r="A41">
        <v>1996</v>
      </c>
      <c r="B41">
        <v>33786</v>
      </c>
      <c r="C41">
        <v>23252</v>
      </c>
      <c r="D41">
        <v>4204</v>
      </c>
      <c r="E41">
        <v>449</v>
      </c>
      <c r="F41">
        <v>2031</v>
      </c>
      <c r="G41">
        <v>3850</v>
      </c>
    </row>
    <row r="42" spans="1:7" x14ac:dyDescent="0.25">
      <c r="A42">
        <v>1997</v>
      </c>
      <c r="B42">
        <v>37332</v>
      </c>
      <c r="C42">
        <v>25729</v>
      </c>
      <c r="D42">
        <v>4672</v>
      </c>
      <c r="E42">
        <v>484</v>
      </c>
      <c r="F42">
        <v>2343</v>
      </c>
      <c r="G42">
        <v>4104</v>
      </c>
    </row>
    <row r="43" spans="1:7" x14ac:dyDescent="0.25">
      <c r="A43">
        <v>1998</v>
      </c>
      <c r="B43">
        <v>41368</v>
      </c>
      <c r="C43">
        <v>28642</v>
      </c>
      <c r="D43">
        <v>5138</v>
      </c>
      <c r="E43">
        <v>538</v>
      </c>
      <c r="F43">
        <v>2536</v>
      </c>
      <c r="G43">
        <v>4514</v>
      </c>
    </row>
    <row r="44" spans="1:7" x14ac:dyDescent="0.25">
      <c r="A44">
        <v>1999</v>
      </c>
      <c r="B44">
        <v>44875</v>
      </c>
      <c r="C44">
        <v>31328</v>
      </c>
      <c r="D44">
        <v>5556</v>
      </c>
      <c r="E44">
        <v>540</v>
      </c>
      <c r="F44">
        <v>2554</v>
      </c>
      <c r="G44">
        <v>4897</v>
      </c>
    </row>
    <row r="45" spans="1:7" x14ac:dyDescent="0.25">
      <c r="A45">
        <v>2000</v>
      </c>
      <c r="B45">
        <v>48857</v>
      </c>
      <c r="C45">
        <v>34118</v>
      </c>
      <c r="D45">
        <v>6143</v>
      </c>
      <c r="E45">
        <v>562</v>
      </c>
      <c r="F45">
        <v>2715</v>
      </c>
      <c r="G45">
        <v>5319</v>
      </c>
    </row>
    <row r="46" spans="1:7" s="16" customFormat="1" ht="15" customHeight="1" x14ac:dyDescent="0.25">
      <c r="A46" s="16">
        <v>2001</v>
      </c>
      <c r="B46" s="16">
        <v>54991</v>
      </c>
      <c r="C46" s="16">
        <v>38556</v>
      </c>
      <c r="D46" s="16">
        <v>7058</v>
      </c>
      <c r="E46" s="16">
        <v>634</v>
      </c>
      <c r="F46" s="16">
        <v>2948</v>
      </c>
      <c r="G46" s="16">
        <v>5795</v>
      </c>
    </row>
    <row r="47" spans="1:7" x14ac:dyDescent="0.25">
      <c r="A47">
        <v>2002</v>
      </c>
      <c r="B47">
        <v>58924</v>
      </c>
      <c r="C47">
        <v>41581</v>
      </c>
      <c r="D47">
        <v>7613</v>
      </c>
      <c r="E47">
        <v>635</v>
      </c>
      <c r="F47">
        <v>2974</v>
      </c>
      <c r="G47">
        <v>6121</v>
      </c>
    </row>
    <row r="48" spans="1:7" x14ac:dyDescent="0.25">
      <c r="A48">
        <v>2003</v>
      </c>
      <c r="B48">
        <v>67007</v>
      </c>
      <c r="C48">
        <v>47519</v>
      </c>
      <c r="D48">
        <v>8599</v>
      </c>
      <c r="E48">
        <v>721</v>
      </c>
      <c r="F48">
        <v>3492</v>
      </c>
      <c r="G48">
        <v>6676</v>
      </c>
    </row>
    <row r="49" spans="1:7" x14ac:dyDescent="0.25">
      <c r="A49">
        <v>2004</v>
      </c>
      <c r="B49">
        <v>72718</v>
      </c>
      <c r="C49">
        <v>51922</v>
      </c>
      <c r="D49">
        <v>9451</v>
      </c>
      <c r="E49">
        <v>768</v>
      </c>
      <c r="F49">
        <v>3749</v>
      </c>
      <c r="G49">
        <v>6828</v>
      </c>
    </row>
    <row r="50" spans="1:7" x14ac:dyDescent="0.25">
      <c r="A50">
        <v>2005</v>
      </c>
      <c r="B50">
        <v>81499</v>
      </c>
      <c r="C50">
        <v>58799</v>
      </c>
      <c r="D50">
        <v>10320</v>
      </c>
      <c r="E50">
        <v>892</v>
      </c>
      <c r="F50">
        <v>4031</v>
      </c>
      <c r="G50">
        <v>7457</v>
      </c>
    </row>
    <row r="51" spans="1:7" x14ac:dyDescent="0.25">
      <c r="A51">
        <v>2006</v>
      </c>
      <c r="B51">
        <v>89618</v>
      </c>
      <c r="C51">
        <v>64743</v>
      </c>
      <c r="D51">
        <v>11526</v>
      </c>
      <c r="E51">
        <v>992</v>
      </c>
      <c r="F51">
        <v>4436</v>
      </c>
      <c r="G51">
        <v>7921</v>
      </c>
    </row>
    <row r="52" spans="1:7" x14ac:dyDescent="0.25">
      <c r="A52">
        <v>2007</v>
      </c>
      <c r="B52">
        <v>96707</v>
      </c>
      <c r="C52">
        <v>69129</v>
      </c>
      <c r="D52">
        <v>12649</v>
      </c>
      <c r="E52">
        <v>1350</v>
      </c>
      <c r="F52">
        <v>5119</v>
      </c>
      <c r="G52">
        <v>8460</v>
      </c>
    </row>
    <row r="53" spans="1:7" x14ac:dyDescent="0.25">
      <c r="A53">
        <v>2008</v>
      </c>
      <c r="B53">
        <v>105353</v>
      </c>
      <c r="C53">
        <v>75336</v>
      </c>
      <c r="D53">
        <v>13950</v>
      </c>
      <c r="E53">
        <v>1427</v>
      </c>
      <c r="F53">
        <v>5601</v>
      </c>
      <c r="G53">
        <v>9039</v>
      </c>
    </row>
    <row r="54" spans="1:7" x14ac:dyDescent="0.25">
      <c r="A54">
        <v>2009</v>
      </c>
      <c r="B54">
        <v>114951</v>
      </c>
      <c r="C54">
        <v>82402</v>
      </c>
      <c r="D54">
        <v>15313</v>
      </c>
      <c r="E54">
        <v>1486</v>
      </c>
      <c r="F54">
        <v>6041</v>
      </c>
      <c r="G54">
        <v>9710</v>
      </c>
    </row>
    <row r="55" spans="1:7" x14ac:dyDescent="0.25">
      <c r="A55">
        <v>2010</v>
      </c>
      <c r="B55">
        <v>127746</v>
      </c>
      <c r="C55">
        <v>91598</v>
      </c>
      <c r="D55">
        <v>17109</v>
      </c>
      <c r="E55">
        <v>1527</v>
      </c>
      <c r="F55">
        <v>6432</v>
      </c>
      <c r="G55">
        <v>11080</v>
      </c>
    </row>
    <row r="56" spans="1:7" x14ac:dyDescent="0.25">
      <c r="A56">
        <v>2011</v>
      </c>
      <c r="B56">
        <v>141866</v>
      </c>
      <c r="C56">
        <v>101865</v>
      </c>
      <c r="D56">
        <v>19231</v>
      </c>
      <c r="E56">
        <v>1604</v>
      </c>
      <c r="F56">
        <v>7064</v>
      </c>
      <c r="G56">
        <v>12102</v>
      </c>
    </row>
    <row r="57" spans="1:7" x14ac:dyDescent="0.25">
      <c r="A57">
        <v>2012</v>
      </c>
      <c r="B57">
        <v>159491</v>
      </c>
      <c r="C57">
        <v>115419</v>
      </c>
      <c r="D57">
        <v>21568</v>
      </c>
      <c r="E57">
        <v>1677</v>
      </c>
      <c r="F57">
        <v>7658</v>
      </c>
      <c r="G57">
        <v>13169</v>
      </c>
    </row>
    <row r="58" spans="1:7" x14ac:dyDescent="0.25">
      <c r="A58">
        <v>2013</v>
      </c>
      <c r="B58">
        <v>182445</v>
      </c>
      <c r="C58">
        <v>132550</v>
      </c>
      <c r="D58">
        <v>24853</v>
      </c>
      <c r="E58">
        <v>1894</v>
      </c>
      <c r="F58">
        <v>8597</v>
      </c>
      <c r="G58">
        <v>14551</v>
      </c>
    </row>
    <row r="59" spans="1:7" x14ac:dyDescent="0.25">
      <c r="A59">
        <v>2014</v>
      </c>
      <c r="B59" s="20">
        <v>190703.97099999999</v>
      </c>
      <c r="C59" s="20">
        <v>139409.77799999999</v>
      </c>
      <c r="D59" s="20">
        <v>25997.751</v>
      </c>
      <c r="E59" s="20">
        <v>1468.01</v>
      </c>
      <c r="F59" s="20">
        <v>8697.5409999999993</v>
      </c>
      <c r="G59" s="20">
        <v>14417.141</v>
      </c>
    </row>
    <row r="60" spans="1:7" x14ac:dyDescent="0.25">
      <c r="A60">
        <v>2015</v>
      </c>
      <c r="B60" s="20">
        <v>210023.28899999999</v>
      </c>
      <c r="C60" s="20">
        <v>154297.74600000001</v>
      </c>
      <c r="D60" s="20">
        <v>28611.335999999999</v>
      </c>
      <c r="E60" s="20">
        <v>1527.396</v>
      </c>
      <c r="F60" s="20">
        <v>9344.4639999999999</v>
      </c>
      <c r="G60" s="20">
        <v>15503.198</v>
      </c>
    </row>
    <row r="61" spans="1:7" x14ac:dyDescent="0.25">
      <c r="A61">
        <v>2016</v>
      </c>
      <c r="B61" s="20">
        <v>230030.598</v>
      </c>
      <c r="C61" s="20">
        <v>168975.3</v>
      </c>
      <c r="D61" s="20">
        <v>30241.687000000002</v>
      </c>
      <c r="E61" s="20">
        <v>1384.74</v>
      </c>
      <c r="F61" s="20">
        <v>10516.156000000001</v>
      </c>
      <c r="G61" s="20">
        <v>18440.072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topLeftCell="A34" workbookViewId="0">
      <selection activeCell="A62" sqref="A62:XFD62"/>
    </sheetView>
  </sheetViews>
  <sheetFormatPr defaultRowHeight="15" x14ac:dyDescent="0.25"/>
  <sheetData>
    <row r="1" spans="1:6" x14ac:dyDescent="0.25">
      <c r="A1" t="s">
        <v>0</v>
      </c>
      <c r="B1" t="s">
        <v>10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1951</v>
      </c>
      <c r="B2">
        <v>8.8235294117647065</v>
      </c>
      <c r="C2">
        <v>51.960784313725497</v>
      </c>
      <c r="D2">
        <v>11.111111111111111</v>
      </c>
      <c r="E2">
        <v>26.797385620915033</v>
      </c>
      <c r="F2">
        <v>1.3071895424836601</v>
      </c>
    </row>
    <row r="3" spans="1:6" x14ac:dyDescent="0.25">
      <c r="A3">
        <v>1956</v>
      </c>
      <c r="B3">
        <v>9.624413145539906</v>
      </c>
      <c r="C3">
        <v>47.652582159624416</v>
      </c>
      <c r="D3">
        <v>11.032863849765258</v>
      </c>
      <c r="E3">
        <v>27.93427230046948</v>
      </c>
      <c r="F3">
        <v>3.755868544600939</v>
      </c>
    </row>
    <row r="4" spans="1:6" x14ac:dyDescent="0.25">
      <c r="A4">
        <v>1959</v>
      </c>
      <c r="B4">
        <v>11.921708185053381</v>
      </c>
      <c r="C4">
        <v>47.508896797153028</v>
      </c>
      <c r="D4">
        <v>8.5409252669039155</v>
      </c>
      <c r="E4">
        <v>26.334519572953734</v>
      </c>
      <c r="F4">
        <v>5.6939501779359425</v>
      </c>
    </row>
    <row r="5" spans="1:6" x14ac:dyDescent="0.25">
      <c r="A5">
        <v>1960</v>
      </c>
      <c r="B5">
        <v>12.561983471074381</v>
      </c>
      <c r="C5">
        <v>46.611570247933884</v>
      </c>
      <c r="D5">
        <v>8.9256198347107443</v>
      </c>
      <c r="E5">
        <v>25.950413223140494</v>
      </c>
      <c r="F5">
        <v>5.9504132231404956</v>
      </c>
    </row>
    <row r="6" spans="1:6" x14ac:dyDescent="0.25">
      <c r="A6">
        <v>1961</v>
      </c>
      <c r="B6">
        <v>13.233082706766917</v>
      </c>
      <c r="C6">
        <v>46.616541353383454</v>
      </c>
      <c r="D6">
        <v>8.5714285714285712</v>
      </c>
      <c r="E6">
        <v>25.263157894736842</v>
      </c>
      <c r="F6">
        <v>6.3157894736842106</v>
      </c>
    </row>
    <row r="7" spans="1:6" x14ac:dyDescent="0.25">
      <c r="A7">
        <v>1962</v>
      </c>
      <c r="B7">
        <v>15.48731642189586</v>
      </c>
      <c r="C7">
        <v>45.393858477970625</v>
      </c>
      <c r="D7">
        <v>8.0106809078771697</v>
      </c>
      <c r="E7">
        <v>25.233644859813083</v>
      </c>
      <c r="F7">
        <v>5.8744993324432571</v>
      </c>
    </row>
    <row r="8" spans="1:6" x14ac:dyDescent="0.25">
      <c r="A8">
        <v>1963</v>
      </c>
      <c r="B8">
        <v>16.528925619834713</v>
      </c>
      <c r="C8">
        <v>44.273907910271546</v>
      </c>
      <c r="D8">
        <v>7.4380165289256199</v>
      </c>
      <c r="E8">
        <v>25.38370720188902</v>
      </c>
      <c r="F8">
        <v>6.3754427390791024</v>
      </c>
    </row>
    <row r="9" spans="1:6" x14ac:dyDescent="0.25">
      <c r="A9">
        <v>1964</v>
      </c>
      <c r="B9">
        <v>18.543046357615893</v>
      </c>
      <c r="C9">
        <v>42.82560706401766</v>
      </c>
      <c r="D9">
        <v>7.3951434878587197</v>
      </c>
      <c r="E9">
        <v>24.724061810154527</v>
      </c>
      <c r="F9">
        <v>6.5121412803532008</v>
      </c>
    </row>
    <row r="10" spans="1:6" x14ac:dyDescent="0.25">
      <c r="A10">
        <v>1965</v>
      </c>
      <c r="B10">
        <v>20.079522862823062</v>
      </c>
      <c r="C10">
        <v>42.544731610337969</v>
      </c>
      <c r="D10">
        <v>6.9582504970178931</v>
      </c>
      <c r="E10">
        <v>24.055666003976143</v>
      </c>
      <c r="F10">
        <v>6.3618290258449299</v>
      </c>
    </row>
    <row r="11" spans="1:6" x14ac:dyDescent="0.25">
      <c r="A11">
        <v>1966</v>
      </c>
      <c r="B11">
        <v>20.564149226569608</v>
      </c>
      <c r="C11">
        <v>41.492265696087358</v>
      </c>
      <c r="D11">
        <v>6.6424021838034575</v>
      </c>
      <c r="E11">
        <v>23.566878980891719</v>
      </c>
      <c r="F11">
        <v>7.7343039126478619</v>
      </c>
    </row>
    <row r="12" spans="1:6" x14ac:dyDescent="0.25">
      <c r="A12">
        <v>1967</v>
      </c>
      <c r="B12">
        <v>24.013434089000839</v>
      </c>
      <c r="C12">
        <v>40.470193115029382</v>
      </c>
      <c r="D12">
        <v>6.3811922753988242</v>
      </c>
      <c r="E12">
        <v>22.334172963895885</v>
      </c>
      <c r="F12">
        <v>6.8010075566750636</v>
      </c>
    </row>
    <row r="13" spans="1:6" x14ac:dyDescent="0.25">
      <c r="A13">
        <v>1968</v>
      </c>
      <c r="B13">
        <v>26.051051051051051</v>
      </c>
      <c r="C13">
        <v>39.189189189189186</v>
      </c>
      <c r="D13">
        <v>6.2312312312312308</v>
      </c>
      <c r="E13">
        <v>21.396396396396398</v>
      </c>
      <c r="F13">
        <v>7.1321321321321323</v>
      </c>
    </row>
    <row r="14" spans="1:6" x14ac:dyDescent="0.25">
      <c r="A14">
        <v>1969</v>
      </c>
      <c r="B14">
        <v>28.290366350067842</v>
      </c>
      <c r="C14">
        <v>38.941655359565807</v>
      </c>
      <c r="D14">
        <v>5.8344640434192669</v>
      </c>
      <c r="E14">
        <v>20.217096336499321</v>
      </c>
      <c r="F14">
        <v>6.7164179104477615</v>
      </c>
    </row>
    <row r="15" spans="1:6" x14ac:dyDescent="0.25">
      <c r="A15">
        <v>1970</v>
      </c>
      <c r="B15">
        <v>30.337756332931242</v>
      </c>
      <c r="C15">
        <v>37.876960193003619</v>
      </c>
      <c r="D15">
        <v>5.5488540410132687</v>
      </c>
      <c r="E15">
        <v>19.420989143546443</v>
      </c>
      <c r="F15">
        <v>6.8154402895054282</v>
      </c>
    </row>
    <row r="16" spans="1:6" x14ac:dyDescent="0.25">
      <c r="A16">
        <v>1971</v>
      </c>
      <c r="B16">
        <v>30.88471849865952</v>
      </c>
      <c r="C16">
        <v>36.568364611260051</v>
      </c>
      <c r="D16">
        <v>5.0402144772117961</v>
      </c>
      <c r="E16">
        <v>18.391420911528151</v>
      </c>
      <c r="F16">
        <v>9.1152815013404833</v>
      </c>
    </row>
    <row r="17" spans="1:6" x14ac:dyDescent="0.25">
      <c r="A17">
        <v>1972</v>
      </c>
      <c r="B17">
        <v>32.078239608801958</v>
      </c>
      <c r="C17">
        <v>36.185819070904643</v>
      </c>
      <c r="D17">
        <v>4.8899755501222497</v>
      </c>
      <c r="E17">
        <v>17.799511002444987</v>
      </c>
      <c r="F17">
        <v>9.0464547677261606</v>
      </c>
    </row>
    <row r="18" spans="1:6" x14ac:dyDescent="0.25">
      <c r="A18">
        <v>1973</v>
      </c>
      <c r="B18">
        <v>34.803224276908487</v>
      </c>
      <c r="C18">
        <v>33.617828354670458</v>
      </c>
      <c r="D18">
        <v>4.5045045045045047</v>
      </c>
      <c r="E18">
        <v>14.604077761972498</v>
      </c>
      <c r="F18">
        <v>12.470365101944049</v>
      </c>
    </row>
    <row r="19" spans="1:6" x14ac:dyDescent="0.25">
      <c r="A19">
        <v>1974</v>
      </c>
      <c r="B19">
        <v>36.012032660077352</v>
      </c>
      <c r="C19">
        <v>33.003867640739145</v>
      </c>
      <c r="D19">
        <v>4.5122475290073059</v>
      </c>
      <c r="E19">
        <v>13.880532874946283</v>
      </c>
      <c r="F19">
        <v>12.59131929522991</v>
      </c>
    </row>
    <row r="20" spans="1:6" x14ac:dyDescent="0.25">
      <c r="A20">
        <v>1975</v>
      </c>
      <c r="B20">
        <v>38.26860841423948</v>
      </c>
      <c r="C20">
        <v>30.98705501618123</v>
      </c>
      <c r="D20">
        <v>4.6116504854368934</v>
      </c>
      <c r="E20">
        <v>13.551779935275082</v>
      </c>
      <c r="F20">
        <v>12.580906148867314</v>
      </c>
    </row>
    <row r="21" spans="1:6" x14ac:dyDescent="0.25">
      <c r="A21">
        <v>1976</v>
      </c>
      <c r="B21">
        <v>39.148148148148145</v>
      </c>
      <c r="C21">
        <v>28.851851851851851</v>
      </c>
      <c r="D21">
        <v>4.2592592592592595</v>
      </c>
      <c r="E21">
        <v>13</v>
      </c>
      <c r="F21">
        <v>14.74074074074074</v>
      </c>
    </row>
    <row r="22" spans="1:6" x14ac:dyDescent="0.25">
      <c r="A22">
        <v>1977</v>
      </c>
      <c r="B22">
        <v>43.404907975460119</v>
      </c>
      <c r="C22">
        <v>26.932515337423311</v>
      </c>
      <c r="D22">
        <v>3.6503067484662575</v>
      </c>
      <c r="E22">
        <v>11.748466257668712</v>
      </c>
      <c r="F22">
        <v>14.263803680981596</v>
      </c>
    </row>
    <row r="23" spans="1:6" x14ac:dyDescent="0.25">
      <c r="A23">
        <v>1978</v>
      </c>
      <c r="B23">
        <v>44.77033757609297</v>
      </c>
      <c r="C23">
        <v>25.428887659103488</v>
      </c>
      <c r="D23">
        <v>3.4311012728278918</v>
      </c>
      <c r="E23">
        <v>11.151079136690647</v>
      </c>
      <c r="F23">
        <v>15.218594355285003</v>
      </c>
    </row>
    <row r="24" spans="1:6" x14ac:dyDescent="0.25">
      <c r="A24">
        <v>1979</v>
      </c>
      <c r="B24">
        <v>46.513919684651398</v>
      </c>
      <c r="C24">
        <v>24.538063562453807</v>
      </c>
      <c r="D24">
        <v>3.2766691303276669</v>
      </c>
      <c r="E24">
        <v>10.938654841093866</v>
      </c>
      <c r="F24">
        <v>14.73269278147327</v>
      </c>
    </row>
    <row r="25" spans="1:6" x14ac:dyDescent="0.25">
      <c r="A25">
        <v>1980</v>
      </c>
      <c r="B25">
        <v>46.825923468259234</v>
      </c>
      <c r="C25">
        <v>23.424021234240211</v>
      </c>
      <c r="D25">
        <v>3.0966600309666004</v>
      </c>
      <c r="E25">
        <v>10.46228710462287</v>
      </c>
      <c r="F25">
        <v>16.191108161911082</v>
      </c>
    </row>
    <row r="26" spans="1:6" x14ac:dyDescent="0.25">
      <c r="A26">
        <v>1981</v>
      </c>
      <c r="B26">
        <v>48.562418846225192</v>
      </c>
      <c r="C26">
        <v>21.517343721016509</v>
      </c>
      <c r="D26">
        <v>3.005008347245409</v>
      </c>
      <c r="E26">
        <v>10.276386570209608</v>
      </c>
      <c r="F26">
        <v>16.638842515303285</v>
      </c>
    </row>
    <row r="27" spans="1:6" x14ac:dyDescent="0.25">
      <c r="A27">
        <v>1982</v>
      </c>
      <c r="B27">
        <v>50.619322873658135</v>
      </c>
      <c r="C27">
        <v>20.528488852188271</v>
      </c>
      <c r="D27">
        <v>2.8571428571428572</v>
      </c>
      <c r="E27">
        <v>10.123864574731627</v>
      </c>
      <c r="F27">
        <v>15.871180842279109</v>
      </c>
    </row>
    <row r="28" spans="1:6" x14ac:dyDescent="0.25">
      <c r="A28">
        <v>1983</v>
      </c>
      <c r="B28">
        <v>52.402122472393522</v>
      </c>
      <c r="C28">
        <v>19.862326115015058</v>
      </c>
      <c r="D28">
        <v>2.6530904918973182</v>
      </c>
      <c r="E28">
        <v>9.6801950380037294</v>
      </c>
      <c r="F28">
        <v>15.402265882690378</v>
      </c>
    </row>
    <row r="29" spans="1:6" x14ac:dyDescent="0.25">
      <c r="A29">
        <v>1984</v>
      </c>
      <c r="B29">
        <v>54.736444835828401</v>
      </c>
      <c r="C29">
        <v>18.304189206189459</v>
      </c>
      <c r="D29">
        <v>2.5034595546609637</v>
      </c>
      <c r="E29">
        <v>9.3345074852182659</v>
      </c>
      <c r="F29">
        <v>15.121398918102907</v>
      </c>
    </row>
    <row r="30" spans="1:6" x14ac:dyDescent="0.25">
      <c r="A30">
        <v>1985</v>
      </c>
      <c r="B30">
        <v>56.477644492911672</v>
      </c>
      <c r="C30">
        <v>17.524536532170121</v>
      </c>
      <c r="D30">
        <v>2.431842966194111</v>
      </c>
      <c r="E30">
        <v>8.9640130861504908</v>
      </c>
      <c r="F30">
        <v>14.601962922573611</v>
      </c>
    </row>
    <row r="31" spans="1:6" x14ac:dyDescent="0.25">
      <c r="A31">
        <v>1986</v>
      </c>
      <c r="B31">
        <v>59.043206958494842</v>
      </c>
      <c r="C31">
        <v>16.828968516592607</v>
      </c>
      <c r="D31">
        <v>2.1461662097002931</v>
      </c>
      <c r="E31">
        <v>8.1592133875389994</v>
      </c>
      <c r="F31">
        <v>13.822444927673253</v>
      </c>
    </row>
    <row r="32" spans="1:6" x14ac:dyDescent="0.25">
      <c r="A32">
        <v>1987</v>
      </c>
      <c r="B32">
        <v>61.333016325883662</v>
      </c>
      <c r="C32">
        <v>15.905848787446505</v>
      </c>
      <c r="D32">
        <v>1.9416706292597876</v>
      </c>
      <c r="E32">
        <v>7.7983832620066567</v>
      </c>
      <c r="F32">
        <v>13.021080995403391</v>
      </c>
    </row>
    <row r="33" spans="1:6" x14ac:dyDescent="0.25">
      <c r="A33">
        <v>1988</v>
      </c>
      <c r="B33">
        <v>62.761506276150627</v>
      </c>
      <c r="C33">
        <v>15.487920097179106</v>
      </c>
      <c r="D33">
        <v>1.8153596976650019</v>
      </c>
      <c r="E33">
        <v>7.5178836550141721</v>
      </c>
      <c r="F33">
        <v>12.417330273991093</v>
      </c>
    </row>
    <row r="34" spans="1:6" x14ac:dyDescent="0.25">
      <c r="A34">
        <v>1989</v>
      </c>
      <c r="B34">
        <v>64.804964539007088</v>
      </c>
      <c r="C34">
        <v>14.692671394799053</v>
      </c>
      <c r="D34">
        <v>1.6430260047281324</v>
      </c>
      <c r="E34">
        <v>6.9680851063829792</v>
      </c>
      <c r="F34">
        <v>11.891252955082743</v>
      </c>
    </row>
    <row r="35" spans="1:6" x14ac:dyDescent="0.25">
      <c r="A35">
        <v>1990</v>
      </c>
      <c r="B35">
        <v>65.846908939014199</v>
      </c>
      <c r="C35">
        <v>14.066416040100252</v>
      </c>
      <c r="D35">
        <v>1.5559732664995822</v>
      </c>
      <c r="E35">
        <v>6.4640768588137014</v>
      </c>
      <c r="F35">
        <v>12.066624895572264</v>
      </c>
    </row>
    <row r="36" spans="1:6" x14ac:dyDescent="0.25">
      <c r="A36">
        <v>1991</v>
      </c>
      <c r="B36">
        <v>66.435856648264249</v>
      </c>
      <c r="C36">
        <v>13.820529615420604</v>
      </c>
      <c r="D36">
        <v>1.5486104613081313</v>
      </c>
      <c r="E36">
        <v>6.3441564517638254</v>
      </c>
      <c r="F36">
        <v>11.850846823243193</v>
      </c>
    </row>
    <row r="37" spans="1:6" x14ac:dyDescent="0.25">
      <c r="A37">
        <v>1992</v>
      </c>
      <c r="B37">
        <v>66.622708129493347</v>
      </c>
      <c r="C37">
        <v>13.634236610371378</v>
      </c>
      <c r="D37">
        <v>1.5229506104564599</v>
      </c>
      <c r="E37">
        <v>6.4406347045560892</v>
      </c>
      <c r="F37">
        <v>11.779469945122729</v>
      </c>
    </row>
    <row r="38" spans="1:6" x14ac:dyDescent="0.25">
      <c r="A38">
        <v>1993</v>
      </c>
      <c r="B38">
        <v>67.308451037639074</v>
      </c>
      <c r="C38">
        <v>13.193403298350825</v>
      </c>
      <c r="D38">
        <v>1.4992503748125936</v>
      </c>
      <c r="E38">
        <v>6.2810699913201287</v>
      </c>
      <c r="F38">
        <v>11.717825297877377</v>
      </c>
    </row>
    <row r="39" spans="1:6" x14ac:dyDescent="0.25">
      <c r="A39">
        <v>1994</v>
      </c>
      <c r="B39">
        <v>68.326102675343463</v>
      </c>
      <c r="C39">
        <v>12.903109182935646</v>
      </c>
      <c r="D39">
        <v>1.4172089660159073</v>
      </c>
      <c r="E39">
        <v>6.1135213304410696</v>
      </c>
      <c r="F39">
        <v>11.240057845263919</v>
      </c>
    </row>
    <row r="40" spans="1:6" x14ac:dyDescent="0.25">
      <c r="A40">
        <v>1995</v>
      </c>
      <c r="B40">
        <v>68.760521538207627</v>
      </c>
      <c r="C40">
        <v>12.678659844858888</v>
      </c>
      <c r="D40">
        <v>1.3962700115530615</v>
      </c>
      <c r="E40">
        <v>5.9217692688562469</v>
      </c>
      <c r="F40">
        <v>11.24277933652418</v>
      </c>
    </row>
    <row r="41" spans="1:6" x14ac:dyDescent="0.25">
      <c r="A41">
        <v>1996</v>
      </c>
      <c r="B41">
        <v>68.821405315811276</v>
      </c>
      <c r="C41">
        <v>12.443023737642811</v>
      </c>
      <c r="D41">
        <v>1.3289528206949623</v>
      </c>
      <c r="E41">
        <v>6.0113656544130709</v>
      </c>
      <c r="F41">
        <v>11.395252471437873</v>
      </c>
    </row>
    <row r="42" spans="1:6" x14ac:dyDescent="0.25">
      <c r="A42">
        <v>1997</v>
      </c>
      <c r="B42">
        <v>68.919425693774784</v>
      </c>
      <c r="C42">
        <v>12.514732669023893</v>
      </c>
      <c r="D42">
        <v>1.2964748741026466</v>
      </c>
      <c r="E42">
        <v>6.2761170041787206</v>
      </c>
      <c r="F42">
        <v>10.99324975891996</v>
      </c>
    </row>
    <row r="43" spans="1:6" x14ac:dyDescent="0.25">
      <c r="A43">
        <v>1998</v>
      </c>
      <c r="B43">
        <v>69.237091471668919</v>
      </c>
      <c r="C43">
        <v>12.420228195706827</v>
      </c>
      <c r="D43">
        <v>1.3005221427190099</v>
      </c>
      <c r="E43">
        <v>6.1303422935602399</v>
      </c>
      <c r="F43">
        <v>10.911815896345001</v>
      </c>
    </row>
    <row r="44" spans="1:6" x14ac:dyDescent="0.25">
      <c r="A44">
        <v>1999</v>
      </c>
      <c r="B44">
        <v>69.811699164345413</v>
      </c>
      <c r="C44">
        <v>12.381058495821726</v>
      </c>
      <c r="D44">
        <v>1.2033426183844012</v>
      </c>
      <c r="E44">
        <v>5.6913649025069635</v>
      </c>
      <c r="F44">
        <v>10.912534818941504</v>
      </c>
    </row>
    <row r="45" spans="1:6" x14ac:dyDescent="0.25">
      <c r="A45">
        <v>2000</v>
      </c>
      <c r="B45">
        <v>69.832367930900389</v>
      </c>
      <c r="C45">
        <v>12.573428577276541</v>
      </c>
      <c r="D45">
        <v>1.1502957610987166</v>
      </c>
      <c r="E45">
        <v>5.557033792496469</v>
      </c>
      <c r="F45">
        <v>10.88687393822789</v>
      </c>
    </row>
    <row r="46" spans="1:6" x14ac:dyDescent="0.25">
      <c r="A46">
        <v>2001</v>
      </c>
      <c r="B46">
        <v>70.1132912658435</v>
      </c>
      <c r="C46">
        <v>12.834827517230094</v>
      </c>
      <c r="D46">
        <v>1.1529159316979141</v>
      </c>
      <c r="E46">
        <v>5.360877234456547</v>
      </c>
      <c r="F46">
        <v>10.538088050771945</v>
      </c>
    </row>
    <row r="47" spans="1:6" x14ac:dyDescent="0.25">
      <c r="A47">
        <v>2002</v>
      </c>
      <c r="B47">
        <v>70.567171271468325</v>
      </c>
      <c r="C47">
        <v>12.920032584345936</v>
      </c>
      <c r="D47">
        <v>1.0776593578168487</v>
      </c>
      <c r="E47">
        <v>5.0471794175548164</v>
      </c>
      <c r="F47">
        <v>10.387957368814066</v>
      </c>
    </row>
    <row r="48" spans="1:6" x14ac:dyDescent="0.25">
      <c r="A48">
        <v>2003</v>
      </c>
      <c r="B48">
        <v>70.916471413434408</v>
      </c>
      <c r="C48">
        <v>12.832987598310625</v>
      </c>
      <c r="D48">
        <v>1.0760069843449191</v>
      </c>
      <c r="E48">
        <v>5.2113958243168623</v>
      </c>
      <c r="F48">
        <v>9.9631381795931766</v>
      </c>
    </row>
    <row r="49" spans="1:6" x14ac:dyDescent="0.25">
      <c r="A49">
        <v>2004</v>
      </c>
      <c r="B49">
        <v>71.401853736351384</v>
      </c>
      <c r="C49">
        <v>12.996782089716438</v>
      </c>
      <c r="D49">
        <v>1.0561346571687891</v>
      </c>
      <c r="E49">
        <v>5.1555323303721226</v>
      </c>
      <c r="F49">
        <v>9.389697186391265</v>
      </c>
    </row>
    <row r="50" spans="1:6" x14ac:dyDescent="0.25">
      <c r="A50">
        <v>2005</v>
      </c>
      <c r="B50">
        <v>72.146897507944885</v>
      </c>
      <c r="C50">
        <v>12.662732058062062</v>
      </c>
      <c r="D50">
        <v>1.094491956956527</v>
      </c>
      <c r="E50">
        <v>4.9460729579504044</v>
      </c>
      <c r="F50">
        <v>9.1498055190861241</v>
      </c>
    </row>
    <row r="51" spans="1:6" x14ac:dyDescent="0.25">
      <c r="A51">
        <v>2006</v>
      </c>
      <c r="B51">
        <v>72.243299337186727</v>
      </c>
      <c r="C51">
        <v>12.861255551340134</v>
      </c>
      <c r="D51">
        <v>1.106920484724051</v>
      </c>
      <c r="E51">
        <v>4.9498984578990832</v>
      </c>
      <c r="F51">
        <v>8.8386261688500092</v>
      </c>
    </row>
    <row r="52" spans="1:6" x14ac:dyDescent="0.25">
      <c r="A52">
        <v>2007</v>
      </c>
      <c r="B52">
        <v>71.482932983134631</v>
      </c>
      <c r="C52">
        <v>13.079715015459067</v>
      </c>
      <c r="D52">
        <v>1.3959692679950779</v>
      </c>
      <c r="E52">
        <v>5.2933086539754104</v>
      </c>
      <c r="F52">
        <v>8.7480740794358223</v>
      </c>
    </row>
    <row r="53" spans="1:6" x14ac:dyDescent="0.25">
      <c r="A53">
        <v>2008</v>
      </c>
      <c r="B53">
        <v>71.508167778800797</v>
      </c>
      <c r="C53">
        <v>13.241198636963352</v>
      </c>
      <c r="D53">
        <v>1.3544939394227027</v>
      </c>
      <c r="E53">
        <v>5.3164124419807699</v>
      </c>
      <c r="F53">
        <v>8.5797272028323821</v>
      </c>
    </row>
    <row r="54" spans="1:6" x14ac:dyDescent="0.25">
      <c r="A54">
        <v>2009</v>
      </c>
      <c r="B54">
        <v>71.684456855529746</v>
      </c>
      <c r="C54">
        <v>13.321328218110326</v>
      </c>
      <c r="D54">
        <v>1.29272472618768</v>
      </c>
      <c r="E54">
        <v>5.2552826856660664</v>
      </c>
      <c r="F54">
        <v>8.4470774503919053</v>
      </c>
    </row>
    <row r="55" spans="1:6" x14ac:dyDescent="0.25">
      <c r="A55">
        <v>2010</v>
      </c>
      <c r="B55">
        <v>71.70322358430009</v>
      </c>
      <c r="C55">
        <v>13.392982950542484</v>
      </c>
      <c r="D55">
        <v>1.1953407543093326</v>
      </c>
      <c r="E55">
        <v>5.0349913108825328</v>
      </c>
      <c r="F55">
        <v>8.6734613999655572</v>
      </c>
    </row>
    <row r="56" spans="1:6" x14ac:dyDescent="0.25">
      <c r="A56">
        <v>2011</v>
      </c>
      <c r="B56">
        <v>71.80367388944498</v>
      </c>
      <c r="C56">
        <v>13.555749792057291</v>
      </c>
      <c r="D56">
        <v>1.1306444109229836</v>
      </c>
      <c r="E56">
        <v>4.9793467074563322</v>
      </c>
      <c r="F56">
        <v>8.5305852001184217</v>
      </c>
    </row>
    <row r="57" spans="1:6" x14ac:dyDescent="0.25">
      <c r="A57">
        <v>2012</v>
      </c>
      <c r="B57">
        <v>72.367092814014583</v>
      </c>
      <c r="C57">
        <v>13.523020107717675</v>
      </c>
      <c r="D57">
        <v>1.051469988902195</v>
      </c>
      <c r="E57">
        <v>4.8015248509320276</v>
      </c>
      <c r="F57">
        <v>8.2568922384335171</v>
      </c>
    </row>
    <row r="58" spans="1:6" x14ac:dyDescent="0.25">
      <c r="A58">
        <v>2013</v>
      </c>
      <c r="B58">
        <v>72.65203211926881</v>
      </c>
      <c r="C58">
        <v>13.622187508564201</v>
      </c>
      <c r="D58">
        <v>1.0381210775850256</v>
      </c>
      <c r="E58">
        <v>4.7121050179506154</v>
      </c>
      <c r="F58">
        <v>7.9755542766313141</v>
      </c>
    </row>
    <row r="59" spans="1:6" x14ac:dyDescent="0.25">
      <c r="A59">
        <v>2014</v>
      </c>
      <c r="B59" s="16">
        <v>73.102713734261997</v>
      </c>
      <c r="C59" s="16">
        <v>13.632516860385671</v>
      </c>
      <c r="D59" s="16">
        <v>0.76978470469290861</v>
      </c>
      <c r="E59" s="16">
        <v>4.5607550563275892</v>
      </c>
      <c r="F59" s="16">
        <v>7.5599584656787249</v>
      </c>
    </row>
    <row r="60" spans="1:6" x14ac:dyDescent="0.25">
      <c r="A60">
        <v>2015</v>
      </c>
      <c r="B60" s="16">
        <v>73.466969655922313</v>
      </c>
      <c r="C60" s="16">
        <v>13.62293493080189</v>
      </c>
      <c r="D60" s="16">
        <v>0.72725077646031921</v>
      </c>
      <c r="E60" s="16">
        <v>4.4492513399311635</v>
      </c>
      <c r="F60" s="16">
        <v>7.3816566123769256</v>
      </c>
    </row>
    <row r="61" spans="1:6" x14ac:dyDescent="0.25">
      <c r="A61">
        <v>2016</v>
      </c>
      <c r="B61" s="16">
        <v>73.457749303420925</v>
      </c>
      <c r="C61" s="16">
        <v>13.1468105821296</v>
      </c>
      <c r="D61" s="16">
        <v>0.60198078518232612</v>
      </c>
      <c r="E61" s="16">
        <v>4.5716335528545651</v>
      </c>
      <c r="F61" s="16">
        <v>8.0163561544973252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"/>
  <sheetViews>
    <sheetView topLeftCell="A37" workbookViewId="0">
      <selection activeCell="P60" sqref="L60:P62"/>
    </sheetView>
  </sheetViews>
  <sheetFormatPr defaultRowHeight="15" x14ac:dyDescent="0.25"/>
  <cols>
    <col min="2" max="2" width="11.5703125" bestFit="1" customWidth="1"/>
    <col min="3" max="3" width="14" bestFit="1" customWidth="1"/>
    <col min="4" max="4" width="10.5703125" bestFit="1" customWidth="1"/>
    <col min="5" max="5" width="9.5703125" bestFit="1" customWidth="1"/>
    <col min="6" max="7" width="10.5703125" bestFit="1" customWidth="1"/>
    <col min="12" max="12" width="13.85546875" bestFit="1" customWidth="1"/>
  </cols>
  <sheetData>
    <row r="1" spans="1:17" x14ac:dyDescent="0.25">
      <c r="B1" s="21" t="s">
        <v>7</v>
      </c>
      <c r="C1" s="21"/>
      <c r="D1" s="21"/>
      <c r="E1" s="21"/>
      <c r="F1" s="21"/>
      <c r="G1" s="21"/>
      <c r="L1" s="21" t="s">
        <v>8</v>
      </c>
      <c r="M1" s="21"/>
      <c r="N1" s="21"/>
      <c r="O1" s="21"/>
      <c r="P1" s="21"/>
    </row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K2" t="s">
        <v>0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9</v>
      </c>
    </row>
    <row r="3" spans="1:17" x14ac:dyDescent="0.25">
      <c r="A3">
        <v>1951</v>
      </c>
      <c r="B3">
        <v>306</v>
      </c>
      <c r="C3">
        <v>27</v>
      </c>
      <c r="D3">
        <v>159</v>
      </c>
      <c r="E3">
        <v>34</v>
      </c>
      <c r="F3">
        <v>82</v>
      </c>
      <c r="G3">
        <v>4</v>
      </c>
      <c r="K3">
        <v>1951</v>
      </c>
      <c r="L3">
        <f>(C3/B3)*100</f>
        <v>8.8235294117647065</v>
      </c>
      <c r="M3">
        <f>(D3/B3)*100</f>
        <v>51.960784313725497</v>
      </c>
      <c r="N3">
        <f>(E3/B3)*100</f>
        <v>11.111111111111111</v>
      </c>
      <c r="O3">
        <f>(F3/B3)*100</f>
        <v>26.797385620915033</v>
      </c>
      <c r="P3">
        <f>(G3/B3)*100</f>
        <v>1.3071895424836601</v>
      </c>
      <c r="Q3">
        <f>SUM(L3:P3)</f>
        <v>100.00000000000001</v>
      </c>
    </row>
    <row r="4" spans="1:17" x14ac:dyDescent="0.25">
      <c r="A4">
        <v>1956</v>
      </c>
      <c r="B4">
        <v>426</v>
      </c>
      <c r="C4">
        <v>41</v>
      </c>
      <c r="D4">
        <v>203</v>
      </c>
      <c r="E4">
        <v>47</v>
      </c>
      <c r="F4">
        <v>119</v>
      </c>
      <c r="G4">
        <v>16</v>
      </c>
      <c r="K4">
        <v>1956</v>
      </c>
      <c r="L4">
        <f t="shared" ref="L4:L59" si="0">(C4/B4)*100</f>
        <v>9.624413145539906</v>
      </c>
      <c r="M4">
        <f t="shared" ref="M4:M59" si="1">(D4/B4)*100</f>
        <v>47.652582159624416</v>
      </c>
      <c r="N4">
        <f t="shared" ref="N4:N59" si="2">(E4/B4)*100</f>
        <v>11.032863849765258</v>
      </c>
      <c r="O4">
        <f t="shared" ref="O4:O59" si="3">(F4/B4)*100</f>
        <v>27.93427230046948</v>
      </c>
      <c r="P4">
        <f t="shared" ref="P4:P59" si="4">(G4/B4)*100</f>
        <v>3.755868544600939</v>
      </c>
      <c r="Q4">
        <f t="shared" ref="Q4:Q59" si="5">SUM(L4:P4)</f>
        <v>100.00000000000001</v>
      </c>
    </row>
    <row r="5" spans="1:17" x14ac:dyDescent="0.25">
      <c r="A5">
        <v>1959</v>
      </c>
      <c r="B5">
        <v>562</v>
      </c>
      <c r="C5">
        <v>67</v>
      </c>
      <c r="D5">
        <v>267</v>
      </c>
      <c r="E5">
        <v>48</v>
      </c>
      <c r="F5">
        <v>148</v>
      </c>
      <c r="G5">
        <v>32</v>
      </c>
      <c r="K5">
        <v>1959</v>
      </c>
      <c r="L5">
        <f t="shared" si="0"/>
        <v>11.921708185053381</v>
      </c>
      <c r="M5">
        <f t="shared" si="1"/>
        <v>47.508896797153028</v>
      </c>
      <c r="N5">
        <f t="shared" si="2"/>
        <v>8.5409252669039155</v>
      </c>
      <c r="O5">
        <f t="shared" si="3"/>
        <v>26.334519572953734</v>
      </c>
      <c r="P5">
        <f t="shared" si="4"/>
        <v>5.6939501779359425</v>
      </c>
      <c r="Q5">
        <f t="shared" si="5"/>
        <v>100.00000000000001</v>
      </c>
    </row>
    <row r="6" spans="1:17" x14ac:dyDescent="0.25">
      <c r="A6">
        <v>1960</v>
      </c>
      <c r="B6">
        <v>605</v>
      </c>
      <c r="C6">
        <v>76</v>
      </c>
      <c r="D6">
        <v>282</v>
      </c>
      <c r="E6">
        <v>54</v>
      </c>
      <c r="F6">
        <v>157</v>
      </c>
      <c r="G6">
        <v>36</v>
      </c>
      <c r="K6">
        <v>1960</v>
      </c>
      <c r="L6">
        <f t="shared" si="0"/>
        <v>12.561983471074381</v>
      </c>
      <c r="M6">
        <f t="shared" si="1"/>
        <v>46.611570247933884</v>
      </c>
      <c r="N6">
        <f t="shared" si="2"/>
        <v>8.9256198347107443</v>
      </c>
      <c r="O6">
        <f t="shared" si="3"/>
        <v>25.950413223140494</v>
      </c>
      <c r="P6">
        <f t="shared" si="4"/>
        <v>5.9504132231404956</v>
      </c>
      <c r="Q6">
        <f t="shared" si="5"/>
        <v>100.00000000000001</v>
      </c>
    </row>
    <row r="7" spans="1:17" x14ac:dyDescent="0.25">
      <c r="A7">
        <v>1961</v>
      </c>
      <c r="B7">
        <v>665</v>
      </c>
      <c r="C7">
        <v>88</v>
      </c>
      <c r="D7">
        <v>310</v>
      </c>
      <c r="E7">
        <v>57</v>
      </c>
      <c r="F7">
        <v>168</v>
      </c>
      <c r="G7">
        <v>42</v>
      </c>
      <c r="K7">
        <v>1961</v>
      </c>
      <c r="L7">
        <f t="shared" si="0"/>
        <v>13.233082706766917</v>
      </c>
      <c r="M7">
        <f t="shared" si="1"/>
        <v>46.616541353383454</v>
      </c>
      <c r="N7">
        <f t="shared" si="2"/>
        <v>8.5714285714285712</v>
      </c>
      <c r="O7">
        <f t="shared" si="3"/>
        <v>25.263157894736842</v>
      </c>
      <c r="P7">
        <f t="shared" si="4"/>
        <v>6.3157894736842106</v>
      </c>
      <c r="Q7">
        <f t="shared" si="5"/>
        <v>99.999999999999986</v>
      </c>
    </row>
    <row r="8" spans="1:17" x14ac:dyDescent="0.25">
      <c r="A8">
        <v>1962</v>
      </c>
      <c r="B8">
        <v>749</v>
      </c>
      <c r="C8">
        <v>116</v>
      </c>
      <c r="D8">
        <v>340</v>
      </c>
      <c r="E8">
        <v>60</v>
      </c>
      <c r="F8">
        <v>189</v>
      </c>
      <c r="G8">
        <v>44</v>
      </c>
      <c r="K8">
        <v>1962</v>
      </c>
      <c r="L8">
        <f t="shared" si="0"/>
        <v>15.48731642189586</v>
      </c>
      <c r="M8">
        <f t="shared" si="1"/>
        <v>45.393858477970625</v>
      </c>
      <c r="N8">
        <f t="shared" si="2"/>
        <v>8.0106809078771697</v>
      </c>
      <c r="O8">
        <f t="shared" si="3"/>
        <v>25.233644859813083</v>
      </c>
      <c r="P8">
        <f t="shared" si="4"/>
        <v>5.8744993324432571</v>
      </c>
      <c r="Q8">
        <f t="shared" si="5"/>
        <v>100</v>
      </c>
    </row>
    <row r="9" spans="1:17" x14ac:dyDescent="0.25">
      <c r="A9">
        <v>1963</v>
      </c>
      <c r="B9">
        <v>847</v>
      </c>
      <c r="C9">
        <v>140</v>
      </c>
      <c r="D9">
        <v>375</v>
      </c>
      <c r="E9">
        <v>63</v>
      </c>
      <c r="F9">
        <v>215</v>
      </c>
      <c r="G9">
        <v>54</v>
      </c>
      <c r="K9">
        <v>1963</v>
      </c>
      <c r="L9">
        <f t="shared" si="0"/>
        <v>16.528925619834713</v>
      </c>
      <c r="M9">
        <f t="shared" si="1"/>
        <v>44.273907910271546</v>
      </c>
      <c r="N9">
        <f t="shared" si="2"/>
        <v>7.4380165289256199</v>
      </c>
      <c r="O9">
        <f t="shared" si="3"/>
        <v>25.38370720188902</v>
      </c>
      <c r="P9">
        <f t="shared" si="4"/>
        <v>6.3754427390791024</v>
      </c>
      <c r="Q9">
        <f t="shared" si="5"/>
        <v>100</v>
      </c>
    </row>
    <row r="10" spans="1:17" x14ac:dyDescent="0.25">
      <c r="A10">
        <v>1964</v>
      </c>
      <c r="B10">
        <v>906</v>
      </c>
      <c r="C10">
        <v>168</v>
      </c>
      <c r="D10">
        <v>388</v>
      </c>
      <c r="E10">
        <v>67</v>
      </c>
      <c r="F10">
        <v>224</v>
      </c>
      <c r="G10">
        <v>59</v>
      </c>
      <c r="K10">
        <v>1964</v>
      </c>
      <c r="L10">
        <f t="shared" si="0"/>
        <v>18.543046357615893</v>
      </c>
      <c r="M10">
        <f t="shared" si="1"/>
        <v>42.82560706401766</v>
      </c>
      <c r="N10">
        <f t="shared" si="2"/>
        <v>7.3951434878587197</v>
      </c>
      <c r="O10">
        <f t="shared" si="3"/>
        <v>24.724061810154527</v>
      </c>
      <c r="P10">
        <f t="shared" si="4"/>
        <v>6.5121412803532008</v>
      </c>
      <c r="Q10">
        <f t="shared" si="5"/>
        <v>100</v>
      </c>
    </row>
    <row r="11" spans="1:17" x14ac:dyDescent="0.25">
      <c r="A11">
        <v>1965</v>
      </c>
      <c r="B11">
        <v>1006</v>
      </c>
      <c r="C11">
        <v>202</v>
      </c>
      <c r="D11">
        <v>428</v>
      </c>
      <c r="E11">
        <v>70</v>
      </c>
      <c r="F11">
        <v>242</v>
      </c>
      <c r="G11">
        <v>64</v>
      </c>
      <c r="K11">
        <v>1965</v>
      </c>
      <c r="L11">
        <f t="shared" si="0"/>
        <v>20.079522862823062</v>
      </c>
      <c r="M11">
        <f t="shared" si="1"/>
        <v>42.544731610337969</v>
      </c>
      <c r="N11">
        <f t="shared" si="2"/>
        <v>6.9582504970178931</v>
      </c>
      <c r="O11">
        <f t="shared" si="3"/>
        <v>24.055666003976143</v>
      </c>
      <c r="P11">
        <f t="shared" si="4"/>
        <v>6.3618290258449299</v>
      </c>
      <c r="Q11">
        <f t="shared" si="5"/>
        <v>99.999999999999986</v>
      </c>
    </row>
    <row r="12" spans="1:17" x14ac:dyDescent="0.25">
      <c r="A12">
        <v>1966</v>
      </c>
      <c r="B12">
        <v>1099</v>
      </c>
      <c r="C12">
        <v>226</v>
      </c>
      <c r="D12">
        <v>456</v>
      </c>
      <c r="E12">
        <v>73</v>
      </c>
      <c r="F12">
        <v>259</v>
      </c>
      <c r="G12">
        <v>85</v>
      </c>
      <c r="K12">
        <v>1966</v>
      </c>
      <c r="L12">
        <f t="shared" si="0"/>
        <v>20.564149226569608</v>
      </c>
      <c r="M12">
        <f t="shared" si="1"/>
        <v>41.492265696087358</v>
      </c>
      <c r="N12">
        <f t="shared" si="2"/>
        <v>6.6424021838034575</v>
      </c>
      <c r="O12">
        <f t="shared" si="3"/>
        <v>23.566878980891719</v>
      </c>
      <c r="P12">
        <f t="shared" si="4"/>
        <v>7.7343039126478619</v>
      </c>
      <c r="Q12">
        <f t="shared" si="5"/>
        <v>100</v>
      </c>
    </row>
    <row r="13" spans="1:17" x14ac:dyDescent="0.25">
      <c r="A13">
        <v>1967</v>
      </c>
      <c r="B13">
        <v>1191</v>
      </c>
      <c r="C13">
        <v>286</v>
      </c>
      <c r="D13">
        <v>482</v>
      </c>
      <c r="E13">
        <v>76</v>
      </c>
      <c r="F13">
        <v>266</v>
      </c>
      <c r="G13">
        <v>81</v>
      </c>
      <c r="K13">
        <v>1967</v>
      </c>
      <c r="L13">
        <f t="shared" si="0"/>
        <v>24.013434089000839</v>
      </c>
      <c r="M13">
        <f t="shared" si="1"/>
        <v>40.470193115029382</v>
      </c>
      <c r="N13">
        <f t="shared" si="2"/>
        <v>6.3811922753988242</v>
      </c>
      <c r="O13">
        <f t="shared" si="3"/>
        <v>22.334172963895885</v>
      </c>
      <c r="P13">
        <f t="shared" si="4"/>
        <v>6.8010075566750636</v>
      </c>
      <c r="Q13">
        <f t="shared" si="5"/>
        <v>100</v>
      </c>
    </row>
    <row r="14" spans="1:17" x14ac:dyDescent="0.25">
      <c r="A14">
        <v>1968</v>
      </c>
      <c r="B14">
        <v>1332</v>
      </c>
      <c r="C14">
        <v>347</v>
      </c>
      <c r="D14">
        <v>522</v>
      </c>
      <c r="E14">
        <v>83</v>
      </c>
      <c r="F14">
        <v>285</v>
      </c>
      <c r="G14">
        <v>95</v>
      </c>
      <c r="K14">
        <v>1968</v>
      </c>
      <c r="L14">
        <f t="shared" si="0"/>
        <v>26.051051051051051</v>
      </c>
      <c r="M14">
        <f t="shared" si="1"/>
        <v>39.189189189189186</v>
      </c>
      <c r="N14">
        <f t="shared" si="2"/>
        <v>6.2312312312312308</v>
      </c>
      <c r="O14">
        <f t="shared" si="3"/>
        <v>21.396396396396398</v>
      </c>
      <c r="P14">
        <f t="shared" si="4"/>
        <v>7.1321321321321323</v>
      </c>
      <c r="Q14">
        <f t="shared" si="5"/>
        <v>100</v>
      </c>
    </row>
    <row r="15" spans="1:17" x14ac:dyDescent="0.25">
      <c r="A15">
        <v>1969</v>
      </c>
      <c r="B15">
        <v>1474</v>
      </c>
      <c r="C15">
        <v>417</v>
      </c>
      <c r="D15">
        <v>574</v>
      </c>
      <c r="E15">
        <v>86</v>
      </c>
      <c r="F15">
        <v>298</v>
      </c>
      <c r="G15">
        <v>99</v>
      </c>
      <c r="K15">
        <v>1969</v>
      </c>
      <c r="L15">
        <f t="shared" si="0"/>
        <v>28.290366350067842</v>
      </c>
      <c r="M15">
        <f t="shared" si="1"/>
        <v>38.941655359565807</v>
      </c>
      <c r="N15">
        <f t="shared" si="2"/>
        <v>5.8344640434192669</v>
      </c>
      <c r="O15">
        <f t="shared" si="3"/>
        <v>20.217096336499321</v>
      </c>
      <c r="P15">
        <f t="shared" si="4"/>
        <v>6.7164179104477615</v>
      </c>
      <c r="Q15">
        <f t="shared" si="5"/>
        <v>100</v>
      </c>
    </row>
    <row r="16" spans="1:17" x14ac:dyDescent="0.25">
      <c r="A16">
        <v>1970</v>
      </c>
      <c r="B16">
        <v>1658</v>
      </c>
      <c r="C16">
        <v>503</v>
      </c>
      <c r="D16">
        <v>628</v>
      </c>
      <c r="E16">
        <v>92</v>
      </c>
      <c r="F16">
        <v>322</v>
      </c>
      <c r="G16">
        <v>113</v>
      </c>
      <c r="K16">
        <v>1970</v>
      </c>
      <c r="L16">
        <f t="shared" si="0"/>
        <v>30.337756332931242</v>
      </c>
      <c r="M16">
        <f t="shared" si="1"/>
        <v>37.876960193003619</v>
      </c>
      <c r="N16">
        <f t="shared" si="2"/>
        <v>5.5488540410132687</v>
      </c>
      <c r="O16">
        <f t="shared" si="3"/>
        <v>19.420989143546443</v>
      </c>
      <c r="P16">
        <f t="shared" si="4"/>
        <v>6.8154402895054282</v>
      </c>
      <c r="Q16">
        <f t="shared" si="5"/>
        <v>100</v>
      </c>
    </row>
    <row r="17" spans="1:17" x14ac:dyDescent="0.25">
      <c r="A17">
        <v>1971</v>
      </c>
      <c r="B17">
        <v>1865</v>
      </c>
      <c r="C17">
        <v>576</v>
      </c>
      <c r="D17">
        <v>682</v>
      </c>
      <c r="E17">
        <v>94</v>
      </c>
      <c r="F17">
        <v>343</v>
      </c>
      <c r="G17">
        <v>170</v>
      </c>
      <c r="K17">
        <v>1971</v>
      </c>
      <c r="L17">
        <f t="shared" si="0"/>
        <v>30.88471849865952</v>
      </c>
      <c r="M17">
        <f t="shared" si="1"/>
        <v>36.568364611260051</v>
      </c>
      <c r="N17">
        <f t="shared" si="2"/>
        <v>5.0402144772117961</v>
      </c>
      <c r="O17">
        <f t="shared" si="3"/>
        <v>18.391420911528151</v>
      </c>
      <c r="P17">
        <f t="shared" si="4"/>
        <v>9.1152815013404833</v>
      </c>
      <c r="Q17">
        <f t="shared" si="5"/>
        <v>100</v>
      </c>
    </row>
    <row r="18" spans="1:17" x14ac:dyDescent="0.25">
      <c r="A18">
        <v>1972</v>
      </c>
      <c r="B18">
        <v>2045</v>
      </c>
      <c r="C18">
        <v>656</v>
      </c>
      <c r="D18">
        <v>740</v>
      </c>
      <c r="E18">
        <v>100</v>
      </c>
      <c r="F18">
        <v>364</v>
      </c>
      <c r="G18">
        <v>185</v>
      </c>
      <c r="K18">
        <v>1972</v>
      </c>
      <c r="L18">
        <f t="shared" si="0"/>
        <v>32.078239608801958</v>
      </c>
      <c r="M18">
        <f t="shared" si="1"/>
        <v>36.185819070904643</v>
      </c>
      <c r="N18">
        <f t="shared" si="2"/>
        <v>4.8899755501222497</v>
      </c>
      <c r="O18">
        <f t="shared" si="3"/>
        <v>17.799511002444987</v>
      </c>
      <c r="P18">
        <f t="shared" si="4"/>
        <v>9.0464547677261606</v>
      </c>
      <c r="Q18">
        <f t="shared" si="5"/>
        <v>100</v>
      </c>
    </row>
    <row r="19" spans="1:17" x14ac:dyDescent="0.25">
      <c r="A19">
        <v>1973</v>
      </c>
      <c r="B19">
        <v>2109</v>
      </c>
      <c r="C19">
        <v>734</v>
      </c>
      <c r="D19">
        <v>709</v>
      </c>
      <c r="E19">
        <v>95</v>
      </c>
      <c r="F19">
        <v>308</v>
      </c>
      <c r="G19">
        <v>263</v>
      </c>
      <c r="K19">
        <v>1973</v>
      </c>
      <c r="L19">
        <f t="shared" si="0"/>
        <v>34.803224276908487</v>
      </c>
      <c r="M19">
        <f t="shared" si="1"/>
        <v>33.617828354670458</v>
      </c>
      <c r="N19">
        <f t="shared" si="2"/>
        <v>4.5045045045045047</v>
      </c>
      <c r="O19">
        <f t="shared" si="3"/>
        <v>14.604077761972498</v>
      </c>
      <c r="P19">
        <f t="shared" si="4"/>
        <v>12.470365101944049</v>
      </c>
      <c r="Q19">
        <f t="shared" si="5"/>
        <v>100</v>
      </c>
    </row>
    <row r="20" spans="1:17" x14ac:dyDescent="0.25">
      <c r="A20">
        <v>1974</v>
      </c>
      <c r="B20">
        <v>2327</v>
      </c>
      <c r="C20">
        <v>838</v>
      </c>
      <c r="D20">
        <v>768</v>
      </c>
      <c r="E20">
        <v>105</v>
      </c>
      <c r="F20">
        <v>323</v>
      </c>
      <c r="G20">
        <v>293</v>
      </c>
      <c r="K20">
        <v>1974</v>
      </c>
      <c r="L20">
        <f t="shared" si="0"/>
        <v>36.012032660077352</v>
      </c>
      <c r="M20">
        <f t="shared" si="1"/>
        <v>33.003867640739145</v>
      </c>
      <c r="N20">
        <f t="shared" si="2"/>
        <v>4.5122475290073059</v>
      </c>
      <c r="O20">
        <f t="shared" si="3"/>
        <v>13.880532874946283</v>
      </c>
      <c r="P20">
        <f t="shared" si="4"/>
        <v>12.59131929522991</v>
      </c>
      <c r="Q20">
        <f t="shared" si="5"/>
        <v>100</v>
      </c>
    </row>
    <row r="21" spans="1:17" x14ac:dyDescent="0.25">
      <c r="A21">
        <v>1975</v>
      </c>
      <c r="B21">
        <v>2472</v>
      </c>
      <c r="C21">
        <v>946</v>
      </c>
      <c r="D21">
        <v>766</v>
      </c>
      <c r="E21">
        <v>114</v>
      </c>
      <c r="F21">
        <v>335</v>
      </c>
      <c r="G21">
        <v>311</v>
      </c>
      <c r="K21">
        <v>1975</v>
      </c>
      <c r="L21">
        <f t="shared" si="0"/>
        <v>38.26860841423948</v>
      </c>
      <c r="M21">
        <f t="shared" si="1"/>
        <v>30.98705501618123</v>
      </c>
      <c r="N21">
        <f t="shared" si="2"/>
        <v>4.6116504854368934</v>
      </c>
      <c r="O21">
        <f t="shared" si="3"/>
        <v>13.551779935275082</v>
      </c>
      <c r="P21">
        <f t="shared" si="4"/>
        <v>12.580906148867314</v>
      </c>
      <c r="Q21">
        <f t="shared" si="5"/>
        <v>100</v>
      </c>
    </row>
    <row r="22" spans="1:17" x14ac:dyDescent="0.25">
      <c r="A22">
        <v>1976</v>
      </c>
      <c r="B22">
        <v>2700</v>
      </c>
      <c r="C22">
        <v>1057</v>
      </c>
      <c r="D22">
        <v>779</v>
      </c>
      <c r="E22">
        <v>115</v>
      </c>
      <c r="F22">
        <v>351</v>
      </c>
      <c r="G22">
        <v>398</v>
      </c>
      <c r="K22">
        <v>1976</v>
      </c>
      <c r="L22">
        <f t="shared" si="0"/>
        <v>39.148148148148145</v>
      </c>
      <c r="M22">
        <f t="shared" si="1"/>
        <v>28.851851851851851</v>
      </c>
      <c r="N22">
        <f t="shared" si="2"/>
        <v>4.2592592592592595</v>
      </c>
      <c r="O22">
        <f t="shared" si="3"/>
        <v>13</v>
      </c>
      <c r="P22">
        <f t="shared" si="4"/>
        <v>14.74074074074074</v>
      </c>
      <c r="Q22">
        <f t="shared" si="5"/>
        <v>100</v>
      </c>
    </row>
    <row r="23" spans="1:17" x14ac:dyDescent="0.25">
      <c r="A23">
        <v>1977</v>
      </c>
      <c r="B23">
        <v>3260</v>
      </c>
      <c r="C23">
        <v>1415</v>
      </c>
      <c r="D23">
        <v>878</v>
      </c>
      <c r="E23">
        <v>119</v>
      </c>
      <c r="F23">
        <v>383</v>
      </c>
      <c r="G23">
        <v>465</v>
      </c>
      <c r="K23">
        <v>1977</v>
      </c>
      <c r="L23">
        <f t="shared" si="0"/>
        <v>43.404907975460119</v>
      </c>
      <c r="M23">
        <f t="shared" si="1"/>
        <v>26.932515337423311</v>
      </c>
      <c r="N23">
        <f t="shared" si="2"/>
        <v>3.6503067484662575</v>
      </c>
      <c r="O23">
        <f t="shared" si="3"/>
        <v>11.748466257668712</v>
      </c>
      <c r="P23">
        <f t="shared" si="4"/>
        <v>14.263803680981596</v>
      </c>
      <c r="Q23">
        <f t="shared" si="5"/>
        <v>100</v>
      </c>
    </row>
    <row r="24" spans="1:17" x14ac:dyDescent="0.25">
      <c r="A24">
        <v>1978</v>
      </c>
      <c r="B24">
        <v>3614</v>
      </c>
      <c r="C24">
        <v>1618</v>
      </c>
      <c r="D24">
        <v>919</v>
      </c>
      <c r="E24">
        <v>124</v>
      </c>
      <c r="F24">
        <v>403</v>
      </c>
      <c r="G24">
        <v>550</v>
      </c>
      <c r="K24">
        <v>1978</v>
      </c>
      <c r="L24">
        <f t="shared" si="0"/>
        <v>44.77033757609297</v>
      </c>
      <c r="M24">
        <f t="shared" si="1"/>
        <v>25.428887659103488</v>
      </c>
      <c r="N24">
        <f t="shared" si="2"/>
        <v>3.4311012728278918</v>
      </c>
      <c r="O24">
        <f t="shared" si="3"/>
        <v>11.151079136690647</v>
      </c>
      <c r="P24">
        <f t="shared" si="4"/>
        <v>15.218594355285003</v>
      </c>
      <c r="Q24">
        <f t="shared" si="5"/>
        <v>100</v>
      </c>
    </row>
    <row r="25" spans="1:17" x14ac:dyDescent="0.25">
      <c r="A25">
        <v>1979</v>
      </c>
      <c r="B25">
        <v>4059</v>
      </c>
      <c r="C25">
        <v>1888</v>
      </c>
      <c r="D25">
        <v>996</v>
      </c>
      <c r="E25">
        <v>133</v>
      </c>
      <c r="F25">
        <v>444</v>
      </c>
      <c r="G25">
        <v>598</v>
      </c>
      <c r="K25">
        <v>1979</v>
      </c>
      <c r="L25">
        <f t="shared" si="0"/>
        <v>46.513919684651398</v>
      </c>
      <c r="M25">
        <f t="shared" si="1"/>
        <v>24.538063562453807</v>
      </c>
      <c r="N25">
        <f t="shared" si="2"/>
        <v>3.2766691303276669</v>
      </c>
      <c r="O25">
        <f t="shared" si="3"/>
        <v>10.938654841093866</v>
      </c>
      <c r="P25">
        <f t="shared" si="4"/>
        <v>14.73269278147327</v>
      </c>
      <c r="Q25">
        <f t="shared" si="5"/>
        <v>100</v>
      </c>
    </row>
    <row r="26" spans="1:17" x14ac:dyDescent="0.25">
      <c r="A26">
        <v>1980</v>
      </c>
      <c r="B26">
        <v>4521</v>
      </c>
      <c r="C26">
        <v>2117</v>
      </c>
      <c r="D26">
        <v>1059</v>
      </c>
      <c r="E26">
        <v>140</v>
      </c>
      <c r="F26">
        <v>473</v>
      </c>
      <c r="G26">
        <v>732</v>
      </c>
      <c r="K26">
        <v>1980</v>
      </c>
      <c r="L26">
        <f t="shared" si="0"/>
        <v>46.825923468259234</v>
      </c>
      <c r="M26">
        <f t="shared" si="1"/>
        <v>23.424021234240211</v>
      </c>
      <c r="N26">
        <f t="shared" si="2"/>
        <v>3.0966600309666004</v>
      </c>
      <c r="O26">
        <f t="shared" si="3"/>
        <v>10.46228710462287</v>
      </c>
      <c r="P26">
        <f t="shared" si="4"/>
        <v>16.191108161911082</v>
      </c>
      <c r="Q26">
        <f t="shared" si="5"/>
        <v>100</v>
      </c>
    </row>
    <row r="27" spans="1:17" x14ac:dyDescent="0.25">
      <c r="A27">
        <v>1981</v>
      </c>
      <c r="B27">
        <v>5391</v>
      </c>
      <c r="C27">
        <v>2618</v>
      </c>
      <c r="D27">
        <v>1160</v>
      </c>
      <c r="E27">
        <v>162</v>
      </c>
      <c r="F27">
        <v>554</v>
      </c>
      <c r="G27">
        <v>897</v>
      </c>
      <c r="K27">
        <v>1981</v>
      </c>
      <c r="L27">
        <f t="shared" si="0"/>
        <v>48.562418846225192</v>
      </c>
      <c r="M27">
        <f t="shared" si="1"/>
        <v>21.517343721016509</v>
      </c>
      <c r="N27">
        <f t="shared" si="2"/>
        <v>3.005008347245409</v>
      </c>
      <c r="O27">
        <f t="shared" si="3"/>
        <v>10.276386570209608</v>
      </c>
      <c r="P27">
        <f t="shared" si="4"/>
        <v>16.638842515303285</v>
      </c>
      <c r="Q27">
        <f t="shared" si="5"/>
        <v>100</v>
      </c>
    </row>
    <row r="28" spans="1:17" x14ac:dyDescent="0.25">
      <c r="A28">
        <v>1982</v>
      </c>
      <c r="B28">
        <v>6055</v>
      </c>
      <c r="C28">
        <v>3065</v>
      </c>
      <c r="D28">
        <v>1243</v>
      </c>
      <c r="E28">
        <v>173</v>
      </c>
      <c r="F28">
        <v>613</v>
      </c>
      <c r="G28">
        <v>961</v>
      </c>
      <c r="K28">
        <v>1982</v>
      </c>
      <c r="L28">
        <f t="shared" si="0"/>
        <v>50.619322873658135</v>
      </c>
      <c r="M28">
        <f t="shared" si="1"/>
        <v>20.528488852188271</v>
      </c>
      <c r="N28">
        <f t="shared" si="2"/>
        <v>2.8571428571428572</v>
      </c>
      <c r="O28">
        <f t="shared" si="3"/>
        <v>10.123864574731627</v>
      </c>
      <c r="P28">
        <f t="shared" si="4"/>
        <v>15.871180842279109</v>
      </c>
      <c r="Q28">
        <f t="shared" si="5"/>
        <v>100</v>
      </c>
    </row>
    <row r="29" spans="1:17" x14ac:dyDescent="0.25">
      <c r="A29">
        <v>1983</v>
      </c>
      <c r="B29">
        <v>6973</v>
      </c>
      <c r="C29">
        <v>3654</v>
      </c>
      <c r="D29">
        <v>1385</v>
      </c>
      <c r="E29">
        <v>185</v>
      </c>
      <c r="F29">
        <v>675</v>
      </c>
      <c r="G29">
        <v>1074</v>
      </c>
      <c r="K29">
        <v>1983</v>
      </c>
      <c r="L29">
        <f t="shared" si="0"/>
        <v>52.402122472393522</v>
      </c>
      <c r="M29">
        <f t="shared" si="1"/>
        <v>19.862326115015058</v>
      </c>
      <c r="N29">
        <f t="shared" si="2"/>
        <v>2.6530904918973182</v>
      </c>
      <c r="O29">
        <f t="shared" si="3"/>
        <v>9.6801950380037294</v>
      </c>
      <c r="P29">
        <f t="shared" si="4"/>
        <v>15.402265882690378</v>
      </c>
      <c r="Q29">
        <f t="shared" si="5"/>
        <v>100</v>
      </c>
    </row>
    <row r="30" spans="1:17" x14ac:dyDescent="0.25">
      <c r="A30">
        <v>1984</v>
      </c>
      <c r="B30">
        <v>7949</v>
      </c>
      <c r="C30">
        <v>4351</v>
      </c>
      <c r="D30">
        <v>1455</v>
      </c>
      <c r="E30">
        <v>199</v>
      </c>
      <c r="F30">
        <v>742</v>
      </c>
      <c r="G30">
        <v>1202</v>
      </c>
      <c r="K30">
        <v>1984</v>
      </c>
      <c r="L30">
        <f t="shared" si="0"/>
        <v>54.736444835828401</v>
      </c>
      <c r="M30">
        <f t="shared" si="1"/>
        <v>18.304189206189459</v>
      </c>
      <c r="N30">
        <f t="shared" si="2"/>
        <v>2.5034595546609637</v>
      </c>
      <c r="O30">
        <f t="shared" si="3"/>
        <v>9.3345074852182659</v>
      </c>
      <c r="P30">
        <f t="shared" si="4"/>
        <v>15.121398918102907</v>
      </c>
      <c r="Q30">
        <f t="shared" si="5"/>
        <v>100</v>
      </c>
    </row>
    <row r="31" spans="1:17" x14ac:dyDescent="0.25">
      <c r="A31">
        <v>1985</v>
      </c>
      <c r="B31">
        <v>9170</v>
      </c>
      <c r="C31">
        <v>5179</v>
      </c>
      <c r="D31">
        <v>1607</v>
      </c>
      <c r="E31">
        <v>223</v>
      </c>
      <c r="F31">
        <v>822</v>
      </c>
      <c r="G31">
        <v>1339</v>
      </c>
      <c r="K31">
        <v>1985</v>
      </c>
      <c r="L31">
        <f t="shared" si="0"/>
        <v>56.477644492911672</v>
      </c>
      <c r="M31">
        <f t="shared" si="1"/>
        <v>17.524536532170121</v>
      </c>
      <c r="N31">
        <f t="shared" si="2"/>
        <v>2.431842966194111</v>
      </c>
      <c r="O31">
        <f t="shared" si="3"/>
        <v>8.9640130861504908</v>
      </c>
      <c r="P31">
        <f t="shared" si="4"/>
        <v>14.601962922573611</v>
      </c>
      <c r="Q31">
        <f t="shared" si="5"/>
        <v>100</v>
      </c>
    </row>
    <row r="32" spans="1:17" x14ac:dyDescent="0.25">
      <c r="A32">
        <v>1986</v>
      </c>
      <c r="B32">
        <v>10577</v>
      </c>
      <c r="C32">
        <v>6245</v>
      </c>
      <c r="D32">
        <v>1780</v>
      </c>
      <c r="E32">
        <v>227</v>
      </c>
      <c r="F32">
        <v>863</v>
      </c>
      <c r="G32">
        <v>1462</v>
      </c>
      <c r="K32">
        <v>1986</v>
      </c>
      <c r="L32">
        <f t="shared" si="0"/>
        <v>59.043206958494842</v>
      </c>
      <c r="M32">
        <f t="shared" si="1"/>
        <v>16.828968516592607</v>
      </c>
      <c r="N32">
        <f t="shared" si="2"/>
        <v>2.1461662097002931</v>
      </c>
      <c r="O32">
        <f t="shared" si="3"/>
        <v>8.1592133875389994</v>
      </c>
      <c r="P32">
        <f t="shared" si="4"/>
        <v>13.822444927673253</v>
      </c>
      <c r="Q32">
        <f t="shared" si="5"/>
        <v>100</v>
      </c>
    </row>
    <row r="33" spans="1:17" x14ac:dyDescent="0.25">
      <c r="A33">
        <v>1987</v>
      </c>
      <c r="B33">
        <v>12618</v>
      </c>
      <c r="C33">
        <v>7739</v>
      </c>
      <c r="D33">
        <v>2007</v>
      </c>
      <c r="E33">
        <v>245</v>
      </c>
      <c r="F33">
        <v>984</v>
      </c>
      <c r="G33">
        <v>1643</v>
      </c>
      <c r="K33">
        <v>1987</v>
      </c>
      <c r="L33">
        <f t="shared" si="0"/>
        <v>61.333016325883662</v>
      </c>
      <c r="M33">
        <f t="shared" si="1"/>
        <v>15.905848787446505</v>
      </c>
      <c r="N33">
        <f t="shared" si="2"/>
        <v>1.9416706292597876</v>
      </c>
      <c r="O33">
        <f t="shared" si="3"/>
        <v>7.7983832620066567</v>
      </c>
      <c r="P33">
        <f t="shared" si="4"/>
        <v>13.021080995403391</v>
      </c>
      <c r="Q33">
        <f t="shared" si="5"/>
        <v>100</v>
      </c>
    </row>
    <row r="34" spans="1:17" x14ac:dyDescent="0.25">
      <c r="A34">
        <v>1988</v>
      </c>
      <c r="B34">
        <v>14818</v>
      </c>
      <c r="C34">
        <v>9300</v>
      </c>
      <c r="D34">
        <v>2295</v>
      </c>
      <c r="E34">
        <v>269</v>
      </c>
      <c r="F34">
        <v>1114</v>
      </c>
      <c r="G34">
        <v>1840</v>
      </c>
      <c r="K34">
        <v>1988</v>
      </c>
      <c r="L34">
        <f t="shared" si="0"/>
        <v>62.761506276150627</v>
      </c>
      <c r="M34">
        <f t="shared" si="1"/>
        <v>15.487920097179106</v>
      </c>
      <c r="N34">
        <f t="shared" si="2"/>
        <v>1.8153596976650019</v>
      </c>
      <c r="O34">
        <f t="shared" si="3"/>
        <v>7.5178836550141721</v>
      </c>
      <c r="P34">
        <f t="shared" si="4"/>
        <v>12.417330273991093</v>
      </c>
      <c r="Q34">
        <f t="shared" si="5"/>
        <v>100</v>
      </c>
    </row>
    <row r="35" spans="1:17" x14ac:dyDescent="0.25">
      <c r="A35">
        <v>1989</v>
      </c>
      <c r="B35">
        <v>16920</v>
      </c>
      <c r="C35">
        <v>10965</v>
      </c>
      <c r="D35">
        <v>2486</v>
      </c>
      <c r="E35">
        <v>278</v>
      </c>
      <c r="F35">
        <v>1179</v>
      </c>
      <c r="G35">
        <v>2012</v>
      </c>
      <c r="K35">
        <v>1989</v>
      </c>
      <c r="L35">
        <f t="shared" si="0"/>
        <v>64.804964539007088</v>
      </c>
      <c r="M35">
        <f t="shared" si="1"/>
        <v>14.692671394799053</v>
      </c>
      <c r="N35">
        <f t="shared" si="2"/>
        <v>1.6430260047281324</v>
      </c>
      <c r="O35">
        <f t="shared" si="3"/>
        <v>6.9680851063829792</v>
      </c>
      <c r="P35">
        <f t="shared" si="4"/>
        <v>11.891252955082743</v>
      </c>
      <c r="Q35">
        <f t="shared" si="5"/>
        <v>99.999999999999986</v>
      </c>
    </row>
    <row r="36" spans="1:17" x14ac:dyDescent="0.25">
      <c r="A36">
        <v>1990</v>
      </c>
      <c r="B36">
        <v>19152</v>
      </c>
      <c r="C36">
        <v>12611</v>
      </c>
      <c r="D36">
        <v>2694</v>
      </c>
      <c r="E36">
        <v>298</v>
      </c>
      <c r="F36">
        <v>1238</v>
      </c>
      <c r="G36">
        <v>2311</v>
      </c>
      <c r="K36">
        <v>1990</v>
      </c>
      <c r="L36">
        <f t="shared" si="0"/>
        <v>65.846908939014199</v>
      </c>
      <c r="M36">
        <f t="shared" si="1"/>
        <v>14.066416040100252</v>
      </c>
      <c r="N36">
        <f t="shared" si="2"/>
        <v>1.5559732664995822</v>
      </c>
      <c r="O36">
        <f t="shared" si="3"/>
        <v>6.4640768588137014</v>
      </c>
      <c r="P36">
        <f t="shared" si="4"/>
        <v>12.066624895572264</v>
      </c>
      <c r="Q36">
        <f t="shared" si="5"/>
        <v>99.999999999999986</v>
      </c>
    </row>
    <row r="37" spans="1:17" x14ac:dyDescent="0.25">
      <c r="A37">
        <v>1991</v>
      </c>
      <c r="B37">
        <v>21374</v>
      </c>
      <c r="C37">
        <v>14200</v>
      </c>
      <c r="D37">
        <v>2954</v>
      </c>
      <c r="E37">
        <v>331</v>
      </c>
      <c r="F37">
        <v>1356</v>
      </c>
      <c r="G37">
        <v>2533</v>
      </c>
      <c r="K37">
        <v>1991</v>
      </c>
      <c r="L37">
        <f t="shared" si="0"/>
        <v>66.435856648264249</v>
      </c>
      <c r="M37">
        <f t="shared" si="1"/>
        <v>13.820529615420604</v>
      </c>
      <c r="N37">
        <f t="shared" si="2"/>
        <v>1.5486104613081313</v>
      </c>
      <c r="O37">
        <f t="shared" si="3"/>
        <v>6.3441564517638254</v>
      </c>
      <c r="P37">
        <f t="shared" si="4"/>
        <v>11.850846823243193</v>
      </c>
      <c r="Q37">
        <f t="shared" si="5"/>
        <v>99.999999999999986</v>
      </c>
    </row>
    <row r="38" spans="1:17" x14ac:dyDescent="0.25">
      <c r="A38">
        <v>1992</v>
      </c>
      <c r="B38">
        <v>23507</v>
      </c>
      <c r="C38">
        <v>15661</v>
      </c>
      <c r="D38">
        <v>3205</v>
      </c>
      <c r="E38">
        <v>358</v>
      </c>
      <c r="F38">
        <v>1514</v>
      </c>
      <c r="G38">
        <v>2769</v>
      </c>
      <c r="K38">
        <v>1992</v>
      </c>
      <c r="L38">
        <f t="shared" si="0"/>
        <v>66.622708129493347</v>
      </c>
      <c r="M38">
        <f t="shared" si="1"/>
        <v>13.634236610371378</v>
      </c>
      <c r="N38">
        <f t="shared" si="2"/>
        <v>1.5229506104564599</v>
      </c>
      <c r="O38">
        <f t="shared" si="3"/>
        <v>6.4406347045560892</v>
      </c>
      <c r="P38">
        <f t="shared" si="4"/>
        <v>11.779469945122729</v>
      </c>
      <c r="Q38">
        <f t="shared" si="5"/>
        <v>100</v>
      </c>
    </row>
    <row r="39" spans="1:17" x14ac:dyDescent="0.25">
      <c r="A39">
        <v>1993</v>
      </c>
      <c r="B39">
        <v>25346</v>
      </c>
      <c r="C39">
        <v>17060</v>
      </c>
      <c r="D39">
        <v>3344</v>
      </c>
      <c r="E39">
        <v>380</v>
      </c>
      <c r="F39">
        <v>1592</v>
      </c>
      <c r="G39">
        <v>2970</v>
      </c>
      <c r="K39">
        <v>1993</v>
      </c>
      <c r="L39">
        <f t="shared" si="0"/>
        <v>67.308451037639074</v>
      </c>
      <c r="M39">
        <f t="shared" si="1"/>
        <v>13.193403298350825</v>
      </c>
      <c r="N39">
        <f t="shared" si="2"/>
        <v>1.4992503748125936</v>
      </c>
      <c r="O39">
        <f t="shared" si="3"/>
        <v>6.2810699913201287</v>
      </c>
      <c r="P39">
        <f t="shared" si="4"/>
        <v>11.717825297877377</v>
      </c>
      <c r="Q39">
        <f t="shared" si="5"/>
        <v>100</v>
      </c>
    </row>
    <row r="40" spans="1:17" x14ac:dyDescent="0.25">
      <c r="A40">
        <v>1994</v>
      </c>
      <c r="B40">
        <v>27660</v>
      </c>
      <c r="C40">
        <v>18899</v>
      </c>
      <c r="D40">
        <v>3569</v>
      </c>
      <c r="E40">
        <v>392</v>
      </c>
      <c r="F40">
        <v>1691</v>
      </c>
      <c r="G40">
        <v>3109</v>
      </c>
      <c r="K40">
        <v>1994</v>
      </c>
      <c r="L40">
        <f t="shared" si="0"/>
        <v>68.326102675343463</v>
      </c>
      <c r="M40">
        <f t="shared" si="1"/>
        <v>12.903109182935646</v>
      </c>
      <c r="N40">
        <f t="shared" si="2"/>
        <v>1.4172089660159073</v>
      </c>
      <c r="O40">
        <f t="shared" si="3"/>
        <v>6.1135213304410696</v>
      </c>
      <c r="P40">
        <f t="shared" si="4"/>
        <v>11.240057845263919</v>
      </c>
      <c r="Q40">
        <f t="shared" si="5"/>
        <v>100.00000000000001</v>
      </c>
    </row>
    <row r="41" spans="1:17" x14ac:dyDescent="0.25">
      <c r="A41">
        <v>1995</v>
      </c>
      <c r="B41">
        <v>30295</v>
      </c>
      <c r="C41">
        <v>20831</v>
      </c>
      <c r="D41">
        <v>3841</v>
      </c>
      <c r="E41">
        <v>423</v>
      </c>
      <c r="F41">
        <v>1794</v>
      </c>
      <c r="G41">
        <v>3406</v>
      </c>
      <c r="K41">
        <v>1995</v>
      </c>
      <c r="L41">
        <f t="shared" si="0"/>
        <v>68.760521538207627</v>
      </c>
      <c r="M41">
        <f t="shared" si="1"/>
        <v>12.678659844858888</v>
      </c>
      <c r="N41">
        <f t="shared" si="2"/>
        <v>1.3962700115530615</v>
      </c>
      <c r="O41">
        <f t="shared" si="3"/>
        <v>5.9217692688562469</v>
      </c>
      <c r="P41">
        <f t="shared" si="4"/>
        <v>11.24277933652418</v>
      </c>
      <c r="Q41">
        <f t="shared" si="5"/>
        <v>100</v>
      </c>
    </row>
    <row r="42" spans="1:17" x14ac:dyDescent="0.25">
      <c r="A42">
        <v>1996</v>
      </c>
      <c r="B42">
        <v>33786</v>
      </c>
      <c r="C42">
        <v>23252</v>
      </c>
      <c r="D42">
        <v>4204</v>
      </c>
      <c r="E42">
        <v>449</v>
      </c>
      <c r="F42">
        <v>2031</v>
      </c>
      <c r="G42">
        <v>3850</v>
      </c>
      <c r="K42">
        <v>1996</v>
      </c>
      <c r="L42">
        <f t="shared" si="0"/>
        <v>68.821405315811276</v>
      </c>
      <c r="M42">
        <f t="shared" si="1"/>
        <v>12.443023737642811</v>
      </c>
      <c r="N42">
        <f t="shared" si="2"/>
        <v>1.3289528206949623</v>
      </c>
      <c r="O42">
        <f t="shared" si="3"/>
        <v>6.0113656544130709</v>
      </c>
      <c r="P42">
        <f t="shared" si="4"/>
        <v>11.395252471437873</v>
      </c>
      <c r="Q42">
        <f t="shared" si="5"/>
        <v>99.999999999999986</v>
      </c>
    </row>
    <row r="43" spans="1:17" x14ac:dyDescent="0.25">
      <c r="A43">
        <v>1997</v>
      </c>
      <c r="B43">
        <v>37332</v>
      </c>
      <c r="C43">
        <v>25729</v>
      </c>
      <c r="D43">
        <v>4672</v>
      </c>
      <c r="E43">
        <v>484</v>
      </c>
      <c r="F43">
        <v>2343</v>
      </c>
      <c r="G43">
        <v>4104</v>
      </c>
      <c r="K43">
        <v>1997</v>
      </c>
      <c r="L43">
        <f t="shared" si="0"/>
        <v>68.919425693774784</v>
      </c>
      <c r="M43">
        <f t="shared" si="1"/>
        <v>12.514732669023893</v>
      </c>
      <c r="N43">
        <f t="shared" si="2"/>
        <v>1.2964748741026466</v>
      </c>
      <c r="O43">
        <f t="shared" si="3"/>
        <v>6.2761170041787206</v>
      </c>
      <c r="P43">
        <f t="shared" si="4"/>
        <v>10.99324975891996</v>
      </c>
      <c r="Q43">
        <f t="shared" si="5"/>
        <v>100</v>
      </c>
    </row>
    <row r="44" spans="1:17" x14ac:dyDescent="0.25">
      <c r="A44">
        <v>1998</v>
      </c>
      <c r="B44">
        <v>41368</v>
      </c>
      <c r="C44">
        <v>28642</v>
      </c>
      <c r="D44">
        <v>5138</v>
      </c>
      <c r="E44">
        <v>538</v>
      </c>
      <c r="F44">
        <v>2536</v>
      </c>
      <c r="G44">
        <v>4514</v>
      </c>
      <c r="K44">
        <v>1998</v>
      </c>
      <c r="L44">
        <f t="shared" si="0"/>
        <v>69.237091471668919</v>
      </c>
      <c r="M44">
        <f t="shared" si="1"/>
        <v>12.420228195706827</v>
      </c>
      <c r="N44">
        <f t="shared" si="2"/>
        <v>1.3005221427190099</v>
      </c>
      <c r="O44">
        <f t="shared" si="3"/>
        <v>6.1303422935602399</v>
      </c>
      <c r="P44">
        <f t="shared" si="4"/>
        <v>10.911815896345001</v>
      </c>
      <c r="Q44">
        <f t="shared" si="5"/>
        <v>99.999999999999986</v>
      </c>
    </row>
    <row r="45" spans="1:17" x14ac:dyDescent="0.25">
      <c r="A45">
        <v>1999</v>
      </c>
      <c r="B45">
        <v>44875</v>
      </c>
      <c r="C45">
        <v>31328</v>
      </c>
      <c r="D45">
        <v>5556</v>
      </c>
      <c r="E45">
        <v>540</v>
      </c>
      <c r="F45">
        <v>2554</v>
      </c>
      <c r="G45">
        <v>4897</v>
      </c>
      <c r="K45">
        <v>1999</v>
      </c>
      <c r="L45">
        <f t="shared" si="0"/>
        <v>69.811699164345413</v>
      </c>
      <c r="M45">
        <f t="shared" si="1"/>
        <v>12.381058495821726</v>
      </c>
      <c r="N45">
        <f t="shared" si="2"/>
        <v>1.2033426183844012</v>
      </c>
      <c r="O45">
        <f t="shared" si="3"/>
        <v>5.6913649025069635</v>
      </c>
      <c r="P45">
        <f t="shared" si="4"/>
        <v>10.912534818941504</v>
      </c>
      <c r="Q45">
        <f t="shared" si="5"/>
        <v>100</v>
      </c>
    </row>
    <row r="46" spans="1:17" x14ac:dyDescent="0.25">
      <c r="A46">
        <v>2000</v>
      </c>
      <c r="B46">
        <v>48857</v>
      </c>
      <c r="C46">
        <v>34118</v>
      </c>
      <c r="D46">
        <v>6143</v>
      </c>
      <c r="E46">
        <v>562</v>
      </c>
      <c r="F46">
        <v>2715</v>
      </c>
      <c r="G46">
        <v>5319</v>
      </c>
      <c r="K46">
        <v>2000</v>
      </c>
      <c r="L46">
        <f t="shared" si="0"/>
        <v>69.832367930900389</v>
      </c>
      <c r="M46">
        <f t="shared" si="1"/>
        <v>12.573428577276541</v>
      </c>
      <c r="N46">
        <f t="shared" si="2"/>
        <v>1.1502957610987166</v>
      </c>
      <c r="O46">
        <f t="shared" si="3"/>
        <v>5.557033792496469</v>
      </c>
      <c r="P46">
        <f t="shared" si="4"/>
        <v>10.88687393822789</v>
      </c>
      <c r="Q46">
        <f t="shared" si="5"/>
        <v>100.00000000000001</v>
      </c>
    </row>
    <row r="47" spans="1:17" x14ac:dyDescent="0.25">
      <c r="A47">
        <v>2001</v>
      </c>
      <c r="B47">
        <v>54991</v>
      </c>
      <c r="C47">
        <v>38556</v>
      </c>
      <c r="D47">
        <v>7058</v>
      </c>
      <c r="E47">
        <v>634</v>
      </c>
      <c r="F47">
        <v>2948</v>
      </c>
      <c r="G47">
        <v>5795</v>
      </c>
      <c r="K47">
        <v>2001</v>
      </c>
      <c r="L47">
        <f t="shared" si="0"/>
        <v>70.1132912658435</v>
      </c>
      <c r="M47">
        <f t="shared" si="1"/>
        <v>12.834827517230094</v>
      </c>
      <c r="N47">
        <f t="shared" si="2"/>
        <v>1.1529159316979141</v>
      </c>
      <c r="O47">
        <f t="shared" si="3"/>
        <v>5.360877234456547</v>
      </c>
      <c r="P47">
        <f t="shared" si="4"/>
        <v>10.538088050771945</v>
      </c>
      <c r="Q47">
        <f t="shared" si="5"/>
        <v>100.00000000000001</v>
      </c>
    </row>
    <row r="48" spans="1:17" x14ac:dyDescent="0.25">
      <c r="A48">
        <v>2002</v>
      </c>
      <c r="B48">
        <v>58924</v>
      </c>
      <c r="C48">
        <v>41581</v>
      </c>
      <c r="D48">
        <v>7613</v>
      </c>
      <c r="E48">
        <v>635</v>
      </c>
      <c r="F48">
        <v>2974</v>
      </c>
      <c r="G48">
        <v>6121</v>
      </c>
      <c r="K48">
        <v>2002</v>
      </c>
      <c r="L48">
        <f t="shared" si="0"/>
        <v>70.567171271468325</v>
      </c>
      <c r="M48">
        <f t="shared" si="1"/>
        <v>12.920032584345936</v>
      </c>
      <c r="N48">
        <f t="shared" si="2"/>
        <v>1.0776593578168487</v>
      </c>
      <c r="O48">
        <f t="shared" si="3"/>
        <v>5.0471794175548164</v>
      </c>
      <c r="P48">
        <f t="shared" si="4"/>
        <v>10.387957368814066</v>
      </c>
      <c r="Q48">
        <f t="shared" si="5"/>
        <v>99.999999999999986</v>
      </c>
    </row>
    <row r="49" spans="1:17" x14ac:dyDescent="0.25">
      <c r="A49">
        <v>2003</v>
      </c>
      <c r="B49">
        <v>67007</v>
      </c>
      <c r="C49">
        <v>47519</v>
      </c>
      <c r="D49">
        <v>8599</v>
      </c>
      <c r="E49">
        <v>721</v>
      </c>
      <c r="F49">
        <v>3492</v>
      </c>
      <c r="G49">
        <v>6676</v>
      </c>
      <c r="K49">
        <v>2003</v>
      </c>
      <c r="L49">
        <f t="shared" si="0"/>
        <v>70.916471413434408</v>
      </c>
      <c r="M49">
        <f t="shared" si="1"/>
        <v>12.832987598310625</v>
      </c>
      <c r="N49">
        <f t="shared" si="2"/>
        <v>1.0760069843449191</v>
      </c>
      <c r="O49">
        <f t="shared" si="3"/>
        <v>5.2113958243168623</v>
      </c>
      <c r="P49">
        <f t="shared" si="4"/>
        <v>9.9631381795931766</v>
      </c>
      <c r="Q49">
        <f t="shared" si="5"/>
        <v>99.999999999999986</v>
      </c>
    </row>
    <row r="50" spans="1:17" x14ac:dyDescent="0.25">
      <c r="A50">
        <v>2004</v>
      </c>
      <c r="B50">
        <v>72718</v>
      </c>
      <c r="C50">
        <v>51922</v>
      </c>
      <c r="D50">
        <v>9451</v>
      </c>
      <c r="E50">
        <v>768</v>
      </c>
      <c r="F50">
        <v>3749</v>
      </c>
      <c r="G50">
        <v>6828</v>
      </c>
      <c r="K50">
        <v>2004</v>
      </c>
      <c r="L50">
        <f t="shared" si="0"/>
        <v>71.401853736351384</v>
      </c>
      <c r="M50">
        <f t="shared" si="1"/>
        <v>12.996782089716438</v>
      </c>
      <c r="N50">
        <f t="shared" si="2"/>
        <v>1.0561346571687891</v>
      </c>
      <c r="O50">
        <f t="shared" si="3"/>
        <v>5.1555323303721226</v>
      </c>
      <c r="P50">
        <f t="shared" si="4"/>
        <v>9.389697186391265</v>
      </c>
      <c r="Q50">
        <f t="shared" si="5"/>
        <v>99.999999999999986</v>
      </c>
    </row>
    <row r="51" spans="1:17" x14ac:dyDescent="0.25">
      <c r="A51">
        <v>2005</v>
      </c>
      <c r="B51">
        <v>81499</v>
      </c>
      <c r="C51">
        <v>58799</v>
      </c>
      <c r="D51">
        <v>10320</v>
      </c>
      <c r="E51">
        <v>892</v>
      </c>
      <c r="F51">
        <v>4031</v>
      </c>
      <c r="G51">
        <v>7457</v>
      </c>
      <c r="K51">
        <v>2005</v>
      </c>
      <c r="L51">
        <f t="shared" si="0"/>
        <v>72.146897507944885</v>
      </c>
      <c r="M51">
        <f t="shared" si="1"/>
        <v>12.662732058062062</v>
      </c>
      <c r="N51">
        <f t="shared" si="2"/>
        <v>1.094491956956527</v>
      </c>
      <c r="O51">
        <f t="shared" si="3"/>
        <v>4.9460729579504044</v>
      </c>
      <c r="P51">
        <f t="shared" si="4"/>
        <v>9.1498055190861241</v>
      </c>
      <c r="Q51">
        <f t="shared" si="5"/>
        <v>100.00000000000001</v>
      </c>
    </row>
    <row r="52" spans="1:17" x14ac:dyDescent="0.25">
      <c r="A52">
        <v>2006</v>
      </c>
      <c r="B52">
        <v>89618</v>
      </c>
      <c r="C52">
        <v>64743</v>
      </c>
      <c r="D52">
        <v>11526</v>
      </c>
      <c r="E52">
        <v>992</v>
      </c>
      <c r="F52">
        <v>4436</v>
      </c>
      <c r="G52">
        <v>7921</v>
      </c>
      <c r="K52">
        <v>2006</v>
      </c>
      <c r="L52">
        <f t="shared" si="0"/>
        <v>72.243299337186727</v>
      </c>
      <c r="M52">
        <f t="shared" si="1"/>
        <v>12.861255551340134</v>
      </c>
      <c r="N52">
        <f t="shared" si="2"/>
        <v>1.106920484724051</v>
      </c>
      <c r="O52">
        <f t="shared" si="3"/>
        <v>4.9498984578990832</v>
      </c>
      <c r="P52">
        <f t="shared" si="4"/>
        <v>8.8386261688500092</v>
      </c>
      <c r="Q52">
        <f t="shared" si="5"/>
        <v>100.00000000000001</v>
      </c>
    </row>
    <row r="53" spans="1:17" x14ac:dyDescent="0.25">
      <c r="A53">
        <v>2007</v>
      </c>
      <c r="B53">
        <v>96707</v>
      </c>
      <c r="C53">
        <v>69129</v>
      </c>
      <c r="D53">
        <v>12649</v>
      </c>
      <c r="E53">
        <v>1350</v>
      </c>
      <c r="F53">
        <v>5119</v>
      </c>
      <c r="G53">
        <v>8460</v>
      </c>
      <c r="K53">
        <v>2007</v>
      </c>
      <c r="L53">
        <f t="shared" si="0"/>
        <v>71.482932983134631</v>
      </c>
      <c r="M53">
        <f t="shared" si="1"/>
        <v>13.079715015459067</v>
      </c>
      <c r="N53">
        <f t="shared" si="2"/>
        <v>1.3959692679950779</v>
      </c>
      <c r="O53">
        <f t="shared" si="3"/>
        <v>5.2933086539754104</v>
      </c>
      <c r="P53">
        <f t="shared" si="4"/>
        <v>8.7480740794358223</v>
      </c>
      <c r="Q53">
        <f t="shared" si="5"/>
        <v>100.00000000000003</v>
      </c>
    </row>
    <row r="54" spans="1:17" x14ac:dyDescent="0.25">
      <c r="A54">
        <v>2008</v>
      </c>
      <c r="B54">
        <v>105353</v>
      </c>
      <c r="C54">
        <v>75336</v>
      </c>
      <c r="D54">
        <v>13950</v>
      </c>
      <c r="E54">
        <v>1427</v>
      </c>
      <c r="F54">
        <v>5601</v>
      </c>
      <c r="G54">
        <v>9039</v>
      </c>
      <c r="K54">
        <v>2008</v>
      </c>
      <c r="L54">
        <f t="shared" si="0"/>
        <v>71.508167778800797</v>
      </c>
      <c r="M54">
        <f t="shared" si="1"/>
        <v>13.241198636963352</v>
      </c>
      <c r="N54">
        <f t="shared" si="2"/>
        <v>1.3544939394227027</v>
      </c>
      <c r="O54">
        <f t="shared" si="3"/>
        <v>5.3164124419807699</v>
      </c>
      <c r="P54">
        <f t="shared" si="4"/>
        <v>8.5797272028323821</v>
      </c>
      <c r="Q54">
        <f t="shared" si="5"/>
        <v>100</v>
      </c>
    </row>
    <row r="55" spans="1:17" x14ac:dyDescent="0.25">
      <c r="A55">
        <v>2009</v>
      </c>
      <c r="B55">
        <v>114951</v>
      </c>
      <c r="C55">
        <v>82402</v>
      </c>
      <c r="D55">
        <v>15313</v>
      </c>
      <c r="E55">
        <v>1486</v>
      </c>
      <c r="F55">
        <v>6041</v>
      </c>
      <c r="G55">
        <v>9710</v>
      </c>
      <c r="K55">
        <v>2009</v>
      </c>
      <c r="L55">
        <f t="shared" si="0"/>
        <v>71.684456855529746</v>
      </c>
      <c r="M55">
        <f t="shared" si="1"/>
        <v>13.321328218110326</v>
      </c>
      <c r="N55">
        <f t="shared" si="2"/>
        <v>1.29272472618768</v>
      </c>
      <c r="O55">
        <f t="shared" si="3"/>
        <v>5.2552826856660664</v>
      </c>
      <c r="P55">
        <f t="shared" si="4"/>
        <v>8.4470774503919053</v>
      </c>
      <c r="Q55">
        <f t="shared" si="5"/>
        <v>100.00086993588572</v>
      </c>
    </row>
    <row r="56" spans="1:17" x14ac:dyDescent="0.25">
      <c r="A56">
        <v>2010</v>
      </c>
      <c r="B56">
        <v>127746</v>
      </c>
      <c r="C56">
        <v>91598</v>
      </c>
      <c r="D56">
        <v>17109</v>
      </c>
      <c r="E56">
        <v>1527</v>
      </c>
      <c r="F56">
        <v>6432</v>
      </c>
      <c r="G56">
        <v>11080</v>
      </c>
      <c r="K56">
        <v>2010</v>
      </c>
      <c r="L56">
        <f t="shared" si="0"/>
        <v>71.70322358430009</v>
      </c>
      <c r="M56">
        <f t="shared" si="1"/>
        <v>13.392982950542484</v>
      </c>
      <c r="N56">
        <f t="shared" si="2"/>
        <v>1.1953407543093326</v>
      </c>
      <c r="O56">
        <f t="shared" si="3"/>
        <v>5.0349913108825328</v>
      </c>
      <c r="P56">
        <f t="shared" si="4"/>
        <v>8.6734613999655572</v>
      </c>
      <c r="Q56">
        <f t="shared" si="5"/>
        <v>100</v>
      </c>
    </row>
    <row r="57" spans="1:17" x14ac:dyDescent="0.25">
      <c r="A57">
        <v>2011</v>
      </c>
      <c r="B57">
        <v>141866</v>
      </c>
      <c r="C57">
        <v>101865</v>
      </c>
      <c r="D57">
        <v>19231</v>
      </c>
      <c r="E57">
        <v>1604</v>
      </c>
      <c r="F57">
        <v>7064</v>
      </c>
      <c r="G57">
        <v>12102</v>
      </c>
      <c r="K57">
        <v>2011</v>
      </c>
      <c r="L57">
        <f t="shared" si="0"/>
        <v>71.80367388944498</v>
      </c>
      <c r="M57">
        <f t="shared" si="1"/>
        <v>13.555749792057291</v>
      </c>
      <c r="N57">
        <f t="shared" si="2"/>
        <v>1.1306444109229836</v>
      </c>
      <c r="O57">
        <f t="shared" si="3"/>
        <v>4.9793467074563322</v>
      </c>
      <c r="P57">
        <f t="shared" si="4"/>
        <v>8.5305852001184217</v>
      </c>
      <c r="Q57">
        <f t="shared" si="5"/>
        <v>100.00000000000001</v>
      </c>
    </row>
    <row r="58" spans="1:17" x14ac:dyDescent="0.25">
      <c r="A58">
        <v>2012</v>
      </c>
      <c r="B58">
        <v>159491</v>
      </c>
      <c r="C58">
        <v>115419</v>
      </c>
      <c r="D58">
        <v>21568</v>
      </c>
      <c r="E58">
        <v>1677</v>
      </c>
      <c r="F58">
        <v>7658</v>
      </c>
      <c r="G58">
        <v>13169</v>
      </c>
      <c r="K58">
        <v>2012</v>
      </c>
      <c r="L58">
        <f t="shared" si="0"/>
        <v>72.367092814014583</v>
      </c>
      <c r="M58">
        <f t="shared" si="1"/>
        <v>13.523020107717675</v>
      </c>
      <c r="N58">
        <f t="shared" si="2"/>
        <v>1.051469988902195</v>
      </c>
      <c r="O58">
        <f t="shared" si="3"/>
        <v>4.8015248509320276</v>
      </c>
      <c r="P58">
        <f t="shared" si="4"/>
        <v>8.2568922384335171</v>
      </c>
      <c r="Q58">
        <f t="shared" si="5"/>
        <v>100</v>
      </c>
    </row>
    <row r="59" spans="1:17" x14ac:dyDescent="0.25">
      <c r="A59">
        <v>2013</v>
      </c>
      <c r="B59">
        <v>182445</v>
      </c>
      <c r="C59">
        <v>132550</v>
      </c>
      <c r="D59">
        <v>24853</v>
      </c>
      <c r="E59">
        <v>1894</v>
      </c>
      <c r="F59">
        <v>8597</v>
      </c>
      <c r="G59">
        <v>14551</v>
      </c>
      <c r="K59">
        <v>2013</v>
      </c>
      <c r="L59">
        <f t="shared" si="0"/>
        <v>72.65203211926881</v>
      </c>
      <c r="M59">
        <f t="shared" si="1"/>
        <v>13.622187508564224</v>
      </c>
      <c r="N59">
        <f t="shared" si="2"/>
        <v>1.0381210775850256</v>
      </c>
      <c r="O59">
        <f t="shared" si="3"/>
        <v>4.7121050179506154</v>
      </c>
      <c r="P59">
        <f t="shared" si="4"/>
        <v>7.9755542766313141</v>
      </c>
      <c r="Q59">
        <f t="shared" si="5"/>
        <v>100</v>
      </c>
    </row>
    <row r="60" spans="1:17" x14ac:dyDescent="0.25">
      <c r="A60">
        <v>2014</v>
      </c>
      <c r="B60" s="19">
        <v>190703.97099999999</v>
      </c>
      <c r="C60" s="19">
        <v>139409.77799999999</v>
      </c>
      <c r="D60" s="19">
        <v>25997.751</v>
      </c>
      <c r="E60" s="19">
        <v>1468.01</v>
      </c>
      <c r="F60" s="19">
        <v>8697.5409999999993</v>
      </c>
      <c r="G60" s="19">
        <v>14417.141</v>
      </c>
      <c r="K60">
        <v>2014</v>
      </c>
      <c r="L60">
        <f t="shared" ref="L60:L62" si="6">(C60/B60)*100</f>
        <v>73.102713734261997</v>
      </c>
      <c r="M60">
        <f t="shared" ref="M60:M62" si="7">(D60/B60)*100</f>
        <v>13.632516860385671</v>
      </c>
      <c r="N60">
        <f t="shared" ref="N60:N62" si="8">(E60/B60)*100</f>
        <v>0.76978470469290861</v>
      </c>
      <c r="O60">
        <f t="shared" ref="O60:O62" si="9">(F60/B60)*100</f>
        <v>4.5607550563275892</v>
      </c>
      <c r="P60">
        <f t="shared" ref="P60:P62" si="10">(G60/B60)*100</f>
        <v>7.5599584656787249</v>
      </c>
      <c r="Q60">
        <f t="shared" ref="Q60:Q62" si="11">SUM(L60:P60)</f>
        <v>99.625728821346897</v>
      </c>
    </row>
    <row r="61" spans="1:17" x14ac:dyDescent="0.25">
      <c r="A61">
        <v>2015</v>
      </c>
      <c r="B61" s="19">
        <v>210023.28899999999</v>
      </c>
      <c r="C61" s="19">
        <v>154297.74600000001</v>
      </c>
      <c r="D61" s="19">
        <v>28611.335999999999</v>
      </c>
      <c r="E61" s="19">
        <v>1527.396</v>
      </c>
      <c r="F61" s="19">
        <v>9344.4639999999999</v>
      </c>
      <c r="G61" s="19">
        <v>15503.198</v>
      </c>
      <c r="K61">
        <v>2015</v>
      </c>
      <c r="L61">
        <f t="shared" si="6"/>
        <v>73.466969655922313</v>
      </c>
      <c r="M61">
        <f t="shared" si="7"/>
        <v>13.62293493080189</v>
      </c>
      <c r="N61">
        <f t="shared" si="8"/>
        <v>0.72725077646031921</v>
      </c>
      <c r="O61">
        <f t="shared" si="9"/>
        <v>4.4492513399311635</v>
      </c>
      <c r="P61">
        <f t="shared" si="10"/>
        <v>7.3816566123769256</v>
      </c>
      <c r="Q61">
        <f t="shared" si="11"/>
        <v>99.648063315492621</v>
      </c>
    </row>
    <row r="62" spans="1:17" x14ac:dyDescent="0.25">
      <c r="A62">
        <v>2016</v>
      </c>
      <c r="B62" s="19">
        <v>230030.598</v>
      </c>
      <c r="C62" s="19">
        <v>168975.3</v>
      </c>
      <c r="D62" s="19">
        <v>30241.687000000002</v>
      </c>
      <c r="E62" s="19">
        <v>1384.74</v>
      </c>
      <c r="F62" s="19">
        <v>10516.156000000001</v>
      </c>
      <c r="G62" s="19">
        <v>18440.072</v>
      </c>
      <c r="K62">
        <v>2016</v>
      </c>
      <c r="L62">
        <f t="shared" si="6"/>
        <v>73.457749303420925</v>
      </c>
      <c r="M62">
        <f t="shared" si="7"/>
        <v>13.1468105821296</v>
      </c>
      <c r="N62">
        <f t="shared" si="8"/>
        <v>0.60198078518232612</v>
      </c>
      <c r="O62">
        <f t="shared" si="9"/>
        <v>4.5716335528545651</v>
      </c>
      <c r="P62">
        <f t="shared" si="10"/>
        <v>8.0163561544973252</v>
      </c>
      <c r="Q62">
        <f t="shared" si="11"/>
        <v>99.794530378084744</v>
      </c>
    </row>
    <row r="63" spans="1:17" x14ac:dyDescent="0.25">
      <c r="B63" s="16"/>
      <c r="C63" s="16"/>
      <c r="D63" s="16"/>
      <c r="E63" s="16"/>
      <c r="F63" s="16"/>
      <c r="G63" s="16"/>
    </row>
    <row r="64" spans="1:17" x14ac:dyDescent="0.25">
      <c r="B64" s="16"/>
      <c r="C64" s="16"/>
      <c r="D64" s="16"/>
      <c r="E64" s="16"/>
      <c r="F64" s="16"/>
      <c r="G64" s="16"/>
    </row>
    <row r="65" spans="2:20" x14ac:dyDescent="0.25">
      <c r="B65" s="16"/>
      <c r="C65" s="16"/>
      <c r="D65" s="16"/>
      <c r="E65" s="16"/>
      <c r="F65" s="16"/>
      <c r="G65" s="16"/>
    </row>
    <row r="66" spans="2:20" x14ac:dyDescent="0.25">
      <c r="B66" s="16"/>
      <c r="C66" s="16"/>
      <c r="D66" s="16"/>
      <c r="E66" s="16"/>
      <c r="F66" s="16"/>
      <c r="G66" s="16"/>
      <c r="L66" s="1"/>
      <c r="M66" s="1"/>
      <c r="N66" s="1"/>
      <c r="O66" s="1"/>
      <c r="P66" s="1"/>
      <c r="Q66" s="1"/>
      <c r="R66" s="1"/>
      <c r="S66" s="1"/>
      <c r="T66" s="2"/>
    </row>
    <row r="67" spans="2:20" x14ac:dyDescent="0.25">
      <c r="L67" s="3"/>
      <c r="M67" s="3"/>
      <c r="N67" s="3"/>
      <c r="O67" s="3"/>
      <c r="P67" s="3"/>
      <c r="Q67" s="3"/>
      <c r="R67" s="3"/>
      <c r="S67" s="3"/>
      <c r="T67" s="4"/>
    </row>
    <row r="68" spans="2:20" x14ac:dyDescent="0.25">
      <c r="L68" s="5"/>
      <c r="M68" s="5"/>
      <c r="N68" s="5"/>
      <c r="O68" s="5"/>
      <c r="P68" s="5"/>
      <c r="Q68" s="5"/>
      <c r="R68" s="5"/>
      <c r="S68" s="5"/>
      <c r="T68" s="6"/>
    </row>
  </sheetData>
  <mergeCells count="2">
    <mergeCell ref="B1:G1"/>
    <mergeCell ref="L1:P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>
      <selection activeCell="I15" sqref="I15:N18"/>
    </sheetView>
  </sheetViews>
  <sheetFormatPr defaultRowHeight="15" x14ac:dyDescent="0.25"/>
  <cols>
    <col min="1" max="1" width="9.140625" style="7"/>
    <col min="2" max="2" width="12.7109375" style="7" bestFit="1" customWidth="1"/>
    <col min="3" max="8" width="9.140625" style="7"/>
    <col min="9" max="9" width="11" style="7" bestFit="1" customWidth="1"/>
    <col min="10" max="15" width="9.140625" style="7"/>
    <col min="16" max="16" width="12.7109375" style="7" customWidth="1"/>
    <col min="17" max="16384" width="9.140625" style="7"/>
  </cols>
  <sheetData>
    <row r="1" spans="1:21" ht="15" customHeight="1" x14ac:dyDescent="0.25">
      <c r="A1" s="27" t="s">
        <v>11</v>
      </c>
      <c r="B1" s="23" t="s">
        <v>14</v>
      </c>
      <c r="C1" s="28" t="s">
        <v>13</v>
      </c>
      <c r="D1" s="22" t="s">
        <v>3</v>
      </c>
      <c r="E1" s="22" t="s">
        <v>4</v>
      </c>
      <c r="F1" s="25" t="s">
        <v>12</v>
      </c>
      <c r="G1" s="25" t="s">
        <v>6</v>
      </c>
    </row>
    <row r="2" spans="1:21" ht="24.75" customHeight="1" x14ac:dyDescent="0.25">
      <c r="A2" s="27"/>
      <c r="B2" s="24"/>
      <c r="C2" s="28"/>
      <c r="D2" s="22"/>
      <c r="E2" s="22"/>
      <c r="F2" s="26"/>
      <c r="G2" s="26" t="s">
        <v>15</v>
      </c>
    </row>
    <row r="3" spans="1:21" x14ac:dyDescent="0.25">
      <c r="A3" s="8">
        <v>2001</v>
      </c>
      <c r="B3" s="10">
        <v>54991026</v>
      </c>
      <c r="C3" s="9">
        <v>38556026</v>
      </c>
      <c r="D3" s="7">
        <v>7057724</v>
      </c>
      <c r="E3" s="9">
        <v>633900</v>
      </c>
      <c r="F3" s="9">
        <v>2948300</v>
      </c>
      <c r="G3" s="7">
        <v>5795076</v>
      </c>
    </row>
    <row r="4" spans="1:21" x14ac:dyDescent="0.25">
      <c r="A4" s="8">
        <v>2002</v>
      </c>
      <c r="B4" s="10">
        <v>58924337</v>
      </c>
      <c r="C4" s="9">
        <v>41581058</v>
      </c>
      <c r="D4" s="7">
        <v>7613485</v>
      </c>
      <c r="E4" s="9">
        <v>635006</v>
      </c>
      <c r="F4" s="9">
        <v>2973740</v>
      </c>
      <c r="G4" s="7">
        <v>6121048</v>
      </c>
    </row>
    <row r="5" spans="1:21" x14ac:dyDescent="0.25">
      <c r="A5" s="8">
        <v>2003</v>
      </c>
      <c r="B5" s="10">
        <v>67007284</v>
      </c>
      <c r="C5" s="9">
        <v>47519489</v>
      </c>
      <c r="D5" s="7">
        <v>8599639</v>
      </c>
      <c r="E5" s="9">
        <v>720696</v>
      </c>
      <c r="F5" s="9">
        <v>3491637</v>
      </c>
      <c r="G5" s="7">
        <v>6675823</v>
      </c>
    </row>
    <row r="6" spans="1:21" x14ac:dyDescent="0.25">
      <c r="A6" s="8">
        <v>2004</v>
      </c>
      <c r="B6" s="10">
        <v>72717935</v>
      </c>
      <c r="C6" s="9">
        <v>51921973</v>
      </c>
      <c r="D6" s="7">
        <v>9451176</v>
      </c>
      <c r="E6" s="9">
        <v>767593</v>
      </c>
      <c r="F6" s="9">
        <v>3748484</v>
      </c>
      <c r="G6" s="7">
        <v>6828709</v>
      </c>
    </row>
    <row r="7" spans="1:21" x14ac:dyDescent="0.25">
      <c r="A7" s="8">
        <v>2005</v>
      </c>
      <c r="B7" s="10">
        <v>81501719</v>
      </c>
      <c r="C7" s="11">
        <v>58799702</v>
      </c>
      <c r="D7" s="7">
        <v>10320314</v>
      </c>
      <c r="E7" s="9">
        <v>678521</v>
      </c>
      <c r="F7" s="9">
        <v>3877622</v>
      </c>
      <c r="G7" s="7">
        <v>7825560</v>
      </c>
    </row>
    <row r="8" spans="1:21" x14ac:dyDescent="0.25">
      <c r="A8" s="8">
        <v>2006</v>
      </c>
      <c r="B8" s="10">
        <v>89618267</v>
      </c>
      <c r="C8" s="9">
        <v>64743126</v>
      </c>
      <c r="D8" s="7">
        <v>11526444</v>
      </c>
      <c r="E8" s="9">
        <v>762341</v>
      </c>
      <c r="F8" s="9">
        <v>4274984</v>
      </c>
      <c r="G8" s="7">
        <v>8311372</v>
      </c>
    </row>
    <row r="9" spans="1:21" x14ac:dyDescent="0.25">
      <c r="A9" s="8">
        <v>2007</v>
      </c>
      <c r="B9" s="10">
        <v>96707260</v>
      </c>
      <c r="C9" s="9">
        <v>69128762</v>
      </c>
      <c r="D9" s="7">
        <v>12649179</v>
      </c>
      <c r="E9" s="9">
        <v>1098422</v>
      </c>
      <c r="F9" s="9">
        <v>5118880</v>
      </c>
      <c r="G9" s="7">
        <v>8712017</v>
      </c>
    </row>
    <row r="10" spans="1:21" x14ac:dyDescent="0.25">
      <c r="A10" s="8">
        <v>2008</v>
      </c>
      <c r="B10" s="10">
        <v>105353854</v>
      </c>
      <c r="C10" s="9">
        <v>75336026</v>
      </c>
      <c r="D10" s="7">
        <v>13949829</v>
      </c>
      <c r="E10" s="9">
        <v>1156568</v>
      </c>
      <c r="F10" s="9">
        <v>5600938</v>
      </c>
      <c r="G10" s="7">
        <v>9309493</v>
      </c>
    </row>
    <row r="11" spans="1:21" x14ac:dyDescent="0.25">
      <c r="A11" s="8">
        <v>2009</v>
      </c>
      <c r="B11" s="10">
        <v>114951033</v>
      </c>
      <c r="C11" s="9">
        <v>82402105</v>
      </c>
      <c r="D11" s="7">
        <v>15312586</v>
      </c>
      <c r="E11" s="9">
        <v>1205793</v>
      </c>
      <c r="F11" s="9">
        <v>6040924</v>
      </c>
      <c r="G11" s="7">
        <v>9989625</v>
      </c>
    </row>
    <row r="12" spans="1:21" x14ac:dyDescent="0.25">
      <c r="A12" s="8">
        <v>2010</v>
      </c>
      <c r="B12" s="10">
        <v>127745972</v>
      </c>
      <c r="C12" s="9">
        <v>91597791</v>
      </c>
      <c r="D12" s="7">
        <v>19124920</v>
      </c>
      <c r="E12" s="9">
        <v>176642</v>
      </c>
      <c r="F12" s="9">
        <f>3504491+2927435</f>
        <v>6431926</v>
      </c>
      <c r="G12" s="7">
        <v>11167962</v>
      </c>
    </row>
    <row r="13" spans="1:21" ht="15" customHeight="1" x14ac:dyDescent="0.25">
      <c r="A13" s="8">
        <v>2011</v>
      </c>
      <c r="B13" s="10">
        <v>141865607</v>
      </c>
      <c r="C13" s="9">
        <v>101864582</v>
      </c>
      <c r="D13" s="7">
        <v>19231143</v>
      </c>
      <c r="E13" s="9">
        <v>1238245</v>
      </c>
      <c r="F13" s="9">
        <f>3760864+3303631</f>
        <v>7064495</v>
      </c>
      <c r="G13" s="7">
        <v>12062329</v>
      </c>
      <c r="I13" s="23" t="s">
        <v>14</v>
      </c>
      <c r="J13" s="28" t="s">
        <v>13</v>
      </c>
      <c r="K13" s="22" t="s">
        <v>3</v>
      </c>
      <c r="L13" s="22" t="s">
        <v>4</v>
      </c>
      <c r="M13" s="25" t="s">
        <v>12</v>
      </c>
      <c r="N13" s="25" t="s">
        <v>6</v>
      </c>
      <c r="P13" s="23" t="s">
        <v>14</v>
      </c>
      <c r="Q13" s="28" t="s">
        <v>13</v>
      </c>
      <c r="R13" s="22" t="s">
        <v>3</v>
      </c>
      <c r="S13" s="22" t="s">
        <v>4</v>
      </c>
      <c r="T13" s="25" t="s">
        <v>12</v>
      </c>
      <c r="U13" s="25" t="s">
        <v>6</v>
      </c>
    </row>
    <row r="14" spans="1:21" x14ac:dyDescent="0.25">
      <c r="A14" s="8">
        <v>2012</v>
      </c>
      <c r="B14" s="10">
        <v>159490578</v>
      </c>
      <c r="C14" s="9">
        <v>115419175</v>
      </c>
      <c r="D14" s="7">
        <v>21567666</v>
      </c>
      <c r="E14" s="9">
        <v>1296764</v>
      </c>
      <c r="F14" s="9">
        <f>4056885+3601506</f>
        <v>7658391</v>
      </c>
      <c r="G14" s="7">
        <v>13109300</v>
      </c>
      <c r="I14" s="24"/>
      <c r="J14" s="28"/>
      <c r="K14" s="22"/>
      <c r="L14" s="22"/>
      <c r="M14" s="26"/>
      <c r="N14" s="26" t="s">
        <v>15</v>
      </c>
      <c r="P14" s="24"/>
      <c r="Q14" s="28"/>
      <c r="R14" s="22"/>
      <c r="S14" s="22"/>
      <c r="T14" s="26"/>
      <c r="U14" s="26" t="s">
        <v>15</v>
      </c>
    </row>
    <row r="15" spans="1:21" s="16" customFormat="1" x14ac:dyDescent="0.25">
      <c r="A15" s="15">
        <v>2013</v>
      </c>
      <c r="B15" s="18">
        <v>182445229</v>
      </c>
      <c r="C15" s="17">
        <v>132550294</v>
      </c>
      <c r="D15" s="16">
        <v>24852735</v>
      </c>
      <c r="E15" s="17">
        <v>1418763</v>
      </c>
      <c r="F15" s="17">
        <v>8596762</v>
      </c>
      <c r="G15" s="7">
        <v>14486718</v>
      </c>
      <c r="I15" s="16">
        <f t="shared" ref="I15:N18" si="0">B15/1000</f>
        <v>182445.22899999999</v>
      </c>
      <c r="J15" s="16">
        <f t="shared" si="0"/>
        <v>132550.29399999999</v>
      </c>
      <c r="K15" s="16">
        <f t="shared" si="0"/>
        <v>24852.735000000001</v>
      </c>
      <c r="L15" s="16">
        <f t="shared" si="0"/>
        <v>1418.7629999999999</v>
      </c>
      <c r="M15" s="16">
        <f t="shared" si="0"/>
        <v>8596.7620000000006</v>
      </c>
      <c r="N15" s="16">
        <f t="shared" si="0"/>
        <v>14486.718000000001</v>
      </c>
      <c r="P15" s="16">
        <f>SUM(Q15:U15)</f>
        <v>101.47773613087328</v>
      </c>
      <c r="Q15" s="16">
        <f>(J15/I$15)*100</f>
        <v>72.652102072781517</v>
      </c>
      <c r="R15" s="16">
        <f>(K15/I$15)*100</f>
        <v>13.622025161315673</v>
      </c>
      <c r="S15" s="16">
        <f>(L15/I$15)*100</f>
        <v>0.77763776437256138</v>
      </c>
      <c r="T15" s="16">
        <f>(M15/J$15)*100</f>
        <v>6.4856604542876397</v>
      </c>
      <c r="U15" s="16">
        <f>(N15/I$15)*100</f>
        <v>7.940310678115897</v>
      </c>
    </row>
    <row r="16" spans="1:21" x14ac:dyDescent="0.25">
      <c r="A16" s="8">
        <v>2014</v>
      </c>
      <c r="B16" s="10">
        <v>190703971</v>
      </c>
      <c r="C16" s="9">
        <v>139409778</v>
      </c>
      <c r="D16" s="7">
        <v>25997751</v>
      </c>
      <c r="E16" s="9">
        <v>1468010</v>
      </c>
      <c r="F16" s="9">
        <v>8697541</v>
      </c>
      <c r="G16" s="7">
        <v>14417141</v>
      </c>
      <c r="I16" s="16">
        <f t="shared" si="0"/>
        <v>190703.97099999999</v>
      </c>
      <c r="J16" s="16">
        <f t="shared" si="0"/>
        <v>139409.77799999999</v>
      </c>
      <c r="K16" s="16">
        <f t="shared" si="0"/>
        <v>25997.751</v>
      </c>
      <c r="L16" s="16">
        <f t="shared" si="0"/>
        <v>1468.01</v>
      </c>
      <c r="M16" s="16">
        <f t="shared" si="0"/>
        <v>8697.5409999999993</v>
      </c>
      <c r="N16" s="16">
        <f t="shared" si="0"/>
        <v>14417.141</v>
      </c>
      <c r="O16" s="16"/>
      <c r="P16" s="16">
        <f t="shared" ref="P16:P18" si="1">SUM(Q16:U16)</f>
        <v>105.92996792906486</v>
      </c>
      <c r="Q16" s="16">
        <f t="shared" ref="Q16:Q18" si="2">(J16/I$15)*100</f>
        <v>76.411851800191499</v>
      </c>
      <c r="R16" s="16">
        <f t="shared" ref="R16:R18" si="3">(K16/I$15)*100</f>
        <v>14.249619539242653</v>
      </c>
      <c r="S16" s="16">
        <f t="shared" ref="S16:S18" si="4">(L16/I$15)*100</f>
        <v>0.80463052284036429</v>
      </c>
      <c r="T16" s="16">
        <f t="shared" ref="T16:T18" si="5">(M16/J$15)*100</f>
        <v>6.5616912173729309</v>
      </c>
      <c r="U16" s="16">
        <f t="shared" ref="U16:U18" si="6">(N16/I$15)*100</f>
        <v>7.9021748494174107</v>
      </c>
    </row>
    <row r="17" spans="1:21" x14ac:dyDescent="0.25">
      <c r="A17" s="8">
        <v>2015</v>
      </c>
      <c r="B17" s="10">
        <v>210023289</v>
      </c>
      <c r="C17" s="9">
        <v>154297746</v>
      </c>
      <c r="D17" s="7">
        <v>28611336</v>
      </c>
      <c r="E17" s="9">
        <v>1527396</v>
      </c>
      <c r="F17" s="9">
        <v>9344464</v>
      </c>
      <c r="G17" s="7">
        <v>15503198</v>
      </c>
      <c r="I17" s="16">
        <f t="shared" si="0"/>
        <v>210023.28899999999</v>
      </c>
      <c r="J17" s="16">
        <f t="shared" si="0"/>
        <v>154297.74600000001</v>
      </c>
      <c r="K17" s="16">
        <f t="shared" si="0"/>
        <v>28611.335999999999</v>
      </c>
      <c r="L17" s="16">
        <f t="shared" si="0"/>
        <v>1527.396</v>
      </c>
      <c r="M17" s="16">
        <f t="shared" si="0"/>
        <v>9344.4639999999999</v>
      </c>
      <c r="N17" s="16">
        <f t="shared" si="0"/>
        <v>15503.198</v>
      </c>
      <c r="O17" s="16"/>
      <c r="P17" s="16">
        <f t="shared" si="1"/>
        <v>116.63862585737358</v>
      </c>
      <c r="Q17" s="16">
        <f t="shared" si="2"/>
        <v>84.57209149601826</v>
      </c>
      <c r="R17" s="16">
        <f t="shared" si="3"/>
        <v>15.682150833333111</v>
      </c>
      <c r="S17" s="16">
        <f t="shared" si="4"/>
        <v>0.83718056557127074</v>
      </c>
      <c r="T17" s="16">
        <f t="shared" si="5"/>
        <v>7.0497497349949301</v>
      </c>
      <c r="U17" s="16">
        <f t="shared" si="6"/>
        <v>8.4974532274560062</v>
      </c>
    </row>
    <row r="18" spans="1:21" x14ac:dyDescent="0.25">
      <c r="A18" s="12">
        <v>2016</v>
      </c>
      <c r="B18" s="14">
        <v>230030598</v>
      </c>
      <c r="C18" s="13">
        <v>168975300</v>
      </c>
      <c r="D18" s="7">
        <v>30241687</v>
      </c>
      <c r="E18" s="13">
        <v>1384740</v>
      </c>
      <c r="F18" s="13">
        <v>10516156</v>
      </c>
      <c r="G18" s="7">
        <v>18440072</v>
      </c>
      <c r="I18" s="16">
        <f t="shared" si="0"/>
        <v>230030.598</v>
      </c>
      <c r="J18" s="16">
        <f t="shared" si="0"/>
        <v>168975.3</v>
      </c>
      <c r="K18" s="16">
        <f t="shared" si="0"/>
        <v>30241.687000000002</v>
      </c>
      <c r="L18" s="16">
        <f t="shared" si="0"/>
        <v>1384.74</v>
      </c>
      <c r="M18" s="16">
        <f t="shared" si="0"/>
        <v>10516.156000000001</v>
      </c>
      <c r="N18" s="16">
        <f t="shared" si="0"/>
        <v>18440.072</v>
      </c>
      <c r="O18" s="16"/>
      <c r="P18" s="16">
        <f t="shared" si="1"/>
        <v>127.99264510989084</v>
      </c>
      <c r="Q18" s="16">
        <f t="shared" si="2"/>
        <v>92.617001237121968</v>
      </c>
      <c r="R18" s="16">
        <f t="shared" si="3"/>
        <v>16.575762033218201</v>
      </c>
      <c r="S18" s="16">
        <f t="shared" si="4"/>
        <v>0.75898942799978619</v>
      </c>
      <c r="T18" s="16">
        <f t="shared" si="5"/>
        <v>7.9337100527291176</v>
      </c>
      <c r="U18" s="16">
        <f t="shared" si="6"/>
        <v>10.107182358821781</v>
      </c>
    </row>
    <row r="20" spans="1:21" x14ac:dyDescent="0.25">
      <c r="J20" s="16"/>
      <c r="K20" s="16"/>
      <c r="L20" s="16"/>
      <c r="M20" s="16"/>
      <c r="N20" s="16"/>
    </row>
    <row r="21" spans="1:21" x14ac:dyDescent="0.25">
      <c r="J21" s="16"/>
    </row>
    <row r="22" spans="1:21" x14ac:dyDescent="0.25">
      <c r="J22" s="16"/>
    </row>
    <row r="23" spans="1:21" x14ac:dyDescent="0.25">
      <c r="J23" s="16"/>
    </row>
  </sheetData>
  <mergeCells count="19">
    <mergeCell ref="T13:T14"/>
    <mergeCell ref="U13:U14"/>
    <mergeCell ref="N13:N14"/>
    <mergeCell ref="P13:P14"/>
    <mergeCell ref="Q13:Q14"/>
    <mergeCell ref="R13:R14"/>
    <mergeCell ref="S13:S14"/>
    <mergeCell ref="I13:I14"/>
    <mergeCell ref="J13:J14"/>
    <mergeCell ref="K13:K14"/>
    <mergeCell ref="L13:L14"/>
    <mergeCell ref="M13:M14"/>
    <mergeCell ref="D1:D2"/>
    <mergeCell ref="B1:B2"/>
    <mergeCell ref="G1:G2"/>
    <mergeCell ref="A1:A2"/>
    <mergeCell ref="E1:E2"/>
    <mergeCell ref="F1:F2"/>
    <mergeCell ref="C1:C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Registered_Motor_Vehicles</vt:lpstr>
      <vt:lpstr>values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</dc:creator>
  <cp:lastModifiedBy>TR LAB1</cp:lastModifiedBy>
  <dcterms:created xsi:type="dcterms:W3CDTF">2017-10-05T06:47:37Z</dcterms:created>
  <dcterms:modified xsi:type="dcterms:W3CDTF">2019-06-13T08:43:14Z</dcterms:modified>
</cp:coreProperties>
</file>